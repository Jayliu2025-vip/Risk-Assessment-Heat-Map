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参数配置" sheetId="2" state="visible" r:id="rId2"/>
    <sheet xmlns:r="http://schemas.openxmlformats.org/officeDocument/2006/relationships" name="风险登记册" sheetId="3" state="visible" r:id="rId3"/>
    <sheet xmlns:r="http://schemas.openxmlformats.org/officeDocument/2006/relationships" name="控制措施表" sheetId="4" state="visible" r:id="rId4"/>
    <sheet xmlns:r="http://schemas.openxmlformats.org/officeDocument/2006/relationships" name="热力图" sheetId="5" state="visible" r:id="rId5"/>
    <sheet xmlns:r="http://schemas.openxmlformats.org/officeDocument/2006/relationships" name="汇总与优先级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1"/>
    </font>
    <font>
      <color rgb="00808080"/>
      <sz val="9"/>
    </font>
    <font>
      <b val="1"/>
      <color rgb="00FFFFFF"/>
      <sz val="10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FFC00000"/>
      </patternFill>
    </fill>
    <fill>
      <patternFill patternType="solid">
        <fgColor rgb="FFED7D31"/>
      </patternFill>
    </fill>
    <fill>
      <patternFill patternType="solid">
        <fgColor rgb="FFFFC000"/>
      </patternFill>
    </fill>
    <fill>
      <patternFill patternType="solid">
        <fgColor rgb="FF8EAADB"/>
      </patternFill>
    </fill>
    <fill>
      <patternFill patternType="solid">
        <fgColor rgb="FF70AD4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9" borderId="1" applyAlignment="1" pivotButton="0" quotePrefix="0" xfId="0">
      <alignment horizontal="center" vertical="center" wrapText="1"/>
    </xf>
    <xf numFmtId="9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2" borderId="1" pivotButton="0" quotePrefix="0" xfId="0"/>
    <xf numFmtId="9" fontId="0" fillId="0" borderId="0" pivotButton="0" quotePrefix="0" xfId="0"/>
    <xf numFmtId="0" fontId="0" fillId="2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0" fillId="0" borderId="1" pivotButton="0" quotePrefix="0" xfId="0"/>
    <xf numFmtId="9" fontId="0" fillId="2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center" wrapText="1"/>
    </xf>
    <xf numFmtId="2" fontId="0" fillId="9" borderId="1" applyAlignment="1" pivotButton="0" quotePrefix="0" xfId="0">
      <alignment horizontal="center" vertical="center" wrapText="1"/>
    </xf>
    <xf numFmtId="9" fontId="0" fillId="9" borderId="1" applyAlignment="1" pivotButton="0" quotePrefix="0" xfId="0">
      <alignment horizontal="center" vertical="center" wrapText="1"/>
    </xf>
    <xf numFmtId="0" fontId="6" fillId="2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0" fillId="7" borderId="1" applyAlignment="1" pivotButton="0" quotePrefix="0" xfId="0">
      <alignment horizontal="center" vertical="center" wrapText="1"/>
    </xf>
    <xf numFmtId="1" fontId="0" fillId="6" borderId="1" applyAlignment="1" pivotButton="0" quotePrefix="0" xfId="0">
      <alignment horizontal="center" vertical="center" wrapText="1"/>
    </xf>
    <xf numFmtId="1" fontId="0" fillId="5" borderId="1" applyAlignment="1" pivotButton="0" quotePrefix="0" xfId="0">
      <alignment horizontal="center" vertical="center" wrapText="1"/>
    </xf>
    <xf numFmtId="1" fontId="0" fillId="4" borderId="1" applyAlignment="1" pivotButton="0" quotePrefix="0" xfId="0">
      <alignment horizontal="center" vertical="center" wrapText="1"/>
    </xf>
    <xf numFmtId="1" fontId="0" fillId="8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11">
    <dxf>
      <fill>
        <patternFill patternType="solid">
          <fgColor rgb="00C00000"/>
        </patternFill>
      </fill>
    </dxf>
    <dxf>
      <font>
        <b val="1"/>
        <color rgb="00FFFFFF"/>
      </font>
      <fill>
        <patternFill patternType="solid">
          <fgColor rgb="FFC00000"/>
        </patternFill>
      </fill>
    </dxf>
    <dxf>
      <font>
        <b val="1"/>
        <color rgb="00FFFFFF"/>
      </font>
      <fill>
        <patternFill patternType="solid">
          <fgColor rgb="FFED7D31"/>
        </patternFill>
      </fill>
    </dxf>
    <dxf>
      <font>
        <b val="1"/>
        <color rgb="00FFFFFF"/>
      </font>
      <fill>
        <patternFill patternType="solid">
          <fgColor rgb="FFFFC000"/>
        </patternFill>
      </fill>
    </dxf>
    <dxf>
      <font>
        <b val="1"/>
        <color rgb="00FFFFFF"/>
      </font>
      <fill>
        <patternFill patternType="solid">
          <fgColor rgb="FF8EAADB"/>
        </patternFill>
      </fill>
    </dxf>
    <dxf>
      <font>
        <b val="1"/>
        <color rgb="00FFFFFF"/>
      </font>
      <fill>
        <patternFill patternType="solid">
          <fgColor rgb="FF70AD47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ED7D31"/>
        </patternFill>
      </fill>
    </dxf>
    <dxf>
      <fill>
        <patternFill patternType="solid">
          <fgColor rgb="FFFFC000"/>
        </patternFill>
      </fill>
    </dxf>
    <dxf>
      <fill>
        <patternFill patternType="solid">
          <fgColor rgb="FF8EAADB"/>
        </patternFill>
      </fill>
    </dxf>
    <dxf>
      <fill>
        <patternFill patternType="solid">
          <fgColor rgb="FF70AD4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审计风险评估热力图谱 · 使用说明</t>
        </is>
      </c>
    </row>
    <row r="2">
      <c r="A2" t="inlineStr"/>
    </row>
    <row r="3">
      <c r="A3" t="inlineStr">
        <is>
          <t>【模型】综合影响 = MAX(五维加权分, 一票否决系数×最高维度分)：任一维度打 4/5 分时，致命后果不被其他低分维度稀释。</t>
        </is>
      </c>
    </row>
    <row r="4">
      <c r="A4" t="inlineStr">
        <is>
          <t xml:space="preserve">　　风险领域 12 个、4 大类（战略与治理/财务/运营/合规与安全），对齐《企业内部控制应用指引》与《中央企业全面风险管理指引》。</t>
        </is>
      </c>
    </row>
    <row r="5">
      <c r="A5" t="inlineStr">
        <is>
          <t xml:space="preserve">　　五维权重按“所属领域”自动取用分领域权重矩阵（参数配置页 A24 起），未列出的领域用“全领域默认”行。</t>
        </is>
      </c>
    </row>
    <row r="6">
      <c r="A6" t="inlineStr">
        <is>
          <t xml:space="preserve">　　固有风险 = 可能性(1-5) × 综合影响；剩余风险 = 固有 × (1−折减系数)。</t>
        </is>
      </c>
    </row>
    <row r="7">
      <c r="A7" t="inlineStr">
        <is>
          <t xml:space="preserve">　　折减系数由该风险“关键控制点”的最低分查映射表确定（短板效应）；未标记关键控制时退回全部控制点取最低；无控制点则不折减。</t>
        </is>
      </c>
    </row>
    <row r="8">
      <c r="A8" t="inlineStr">
        <is>
          <t xml:space="preserve">　　控制挽回率 = (固有−剩余)/固有，衡量控制环境化解风险的比例，见登记册 V 列与汇总页领域表。</t>
        </is>
      </c>
    </row>
    <row r="9">
      <c r="A9" t="inlineStr">
        <is>
          <t xml:space="preserve">　　打分原则：各维度只评估其专属后果（如经济损失维度不重复计入舞弊造成的损失），避免维度间重复计分。</t>
        </is>
      </c>
    </row>
    <row r="10">
      <c r="A10" t="inlineStr">
        <is>
          <t xml:space="preserve">　　等级五档：极高≥20 / 高≥12 / 中≥6 / 低≥3 / 极低&lt;3（可在参数配置页调整）。</t>
        </is>
      </c>
    </row>
    <row r="11">
      <c r="A11" t="inlineStr"/>
    </row>
    <row r="12">
      <c r="A12" t="inlineStr">
        <is>
          <t>【日常操作】1. 在「风险登记册」黄色列维护风险条目与六项打分（下拉限选 1-5、领域、期间）。</t>
        </is>
      </c>
    </row>
    <row r="13">
      <c r="A13" t="inlineStr">
        <is>
          <t xml:space="preserve">　　　　　　2. 在「控制措施表」为每条风险挂控制点、打有效性分并标记是否关键控制，注意选对评估期间。</t>
        </is>
      </c>
    </row>
    <row r="14">
      <c r="A14" t="inlineStr">
        <is>
          <t xml:space="preserve">　　　　　　3. 打开「热力图」页切换评估期间查看固有/剩余矩阵；「汇总与优先级」页看排序清单与领域挽回率。</t>
        </is>
      </c>
    </row>
    <row r="15">
      <c r="A15" t="inlineStr">
        <is>
          <t xml:space="preserve">　　　　　　4. 调整权重矩阵、阈值、折减映射、一票否决系数请到「参数配置」，全簿公式自动重算。</t>
        </is>
      </c>
    </row>
    <row r="16">
      <c r="A16" t="inlineStr"/>
    </row>
    <row r="17">
      <c r="A17" t="inlineStr">
        <is>
          <t>【出图出报】运行  python tools/export_from_excel.py  导出 CSV 与 config.json 到 data/export/，</t>
        </is>
      </c>
    </row>
    <row r="18">
      <c r="A18" t="inlineStr">
        <is>
          <t xml:space="preserve">　　　　　　再运行  python tools/generate_report.py  生成 PNG 图集、迁徙矩阵与 PDF 高管简报至 output/。</t>
        </is>
      </c>
    </row>
    <row r="19">
      <c r="A19" t="inlineStr">
        <is>
          <t xml:space="preserve">　　　　　　网页版 web/risk_heatmap.html 可导入同一份 CSV 在浏览器中交互查看与打印汇报。</t>
        </is>
      </c>
    </row>
    <row r="20">
      <c r="A20" t="inlineStr"/>
    </row>
    <row r="21">
      <c r="A21" t="inlineStr">
        <is>
          <t>【要求】Excel 2019/365 及以上（使用 MINIFS/MAXIFS 函数）；启用宏无需、纯公式实现。</t>
        </is>
      </c>
    </row>
    <row r="22">
      <c r="A22" t="inlineStr">
        <is>
          <t>【约定】黄色单元格＝手工录入；灰色单元格＝公式自动计算，请勿覆盖。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28" customWidth="1" min="4" max="4"/>
    <col width="12" customWidth="1" min="5" max="5"/>
    <col width="10" customWidth="1" min="6" max="6"/>
    <col width="8" customWidth="1" min="7" max="7"/>
    <col width="3" customWidth="1" min="8" max="8"/>
    <col width="16" customWidth="1" min="9" max="9"/>
  </cols>
  <sheetData>
    <row r="1">
      <c r="A1" s="1" t="inlineStr">
        <is>
          <t>参数配置 —— 修改后全簿公式自动联动</t>
        </is>
      </c>
      <c r="I1" s="2" t="inlineStr">
        <is>
          <t>评估期间清单</t>
        </is>
      </c>
    </row>
    <row r="2">
      <c r="A2" s="2" t="inlineStr">
        <is>
          <t>五维影响权重</t>
        </is>
      </c>
      <c r="I2" s="3" t="inlineStr">
        <is>
          <t>全部</t>
        </is>
      </c>
    </row>
    <row r="3" ht="20" customHeight="1">
      <c r="A3" t="inlineStr">
        <is>
          <t>经济损失权重</t>
        </is>
      </c>
      <c r="B3" s="4" t="n">
        <v>0.3</v>
      </c>
      <c r="D3" s="5" t="inlineStr">
        <is>
          <t>控制分</t>
        </is>
      </c>
      <c r="E3" s="5" t="inlineStr">
        <is>
          <t>折减系数</t>
        </is>
      </c>
      <c r="I3" s="6" t="inlineStr">
        <is>
          <t>2025H2</t>
        </is>
      </c>
      <c r="J3" s="7" t="inlineStr">
        <is>
          <t>登记册/控制措施表/热力图的下拉自动引用本清单；新增评估期间在下方空行填写即可</t>
        </is>
      </c>
    </row>
    <row r="4">
      <c r="A4" t="inlineStr">
        <is>
          <t>合规法律权重</t>
        </is>
      </c>
      <c r="B4" s="4" t="n">
        <v>0.25</v>
      </c>
      <c r="D4" t="n">
        <v>1</v>
      </c>
      <c r="E4" s="4" t="n">
        <v>0</v>
      </c>
      <c r="I4" s="6" t="inlineStr">
        <is>
          <t>2026H1</t>
        </is>
      </c>
    </row>
    <row r="5">
      <c r="A5" t="inlineStr">
        <is>
          <t>运营中断权重</t>
        </is>
      </c>
      <c r="B5" s="4" t="n">
        <v>0.15</v>
      </c>
      <c r="D5" t="n">
        <v>2</v>
      </c>
      <c r="E5" s="4" t="n">
        <v>0.15</v>
      </c>
      <c r="I5" s="8" t="n"/>
    </row>
    <row r="6">
      <c r="A6" t="inlineStr">
        <is>
          <t>声誉舆情权重</t>
        </is>
      </c>
      <c r="B6" s="4" t="n">
        <v>0.15</v>
      </c>
      <c r="D6" t="n">
        <v>3</v>
      </c>
      <c r="E6" s="4" t="n">
        <v>0.4</v>
      </c>
      <c r="I6" s="8" t="n"/>
    </row>
    <row r="7">
      <c r="A7" t="inlineStr">
        <is>
          <t>舞弊风险权重</t>
        </is>
      </c>
      <c r="B7" s="4" t="n">
        <v>0.15</v>
      </c>
      <c r="D7" t="n">
        <v>4</v>
      </c>
      <c r="E7" s="4" t="n">
        <v>0.55</v>
      </c>
      <c r="I7" s="8" t="n"/>
    </row>
    <row r="8">
      <c r="A8" t="inlineStr">
        <is>
          <t>权重合计（必须=1）</t>
        </is>
      </c>
      <c r="B8" s="9">
        <f>SUM(B3:B7)</f>
        <v/>
      </c>
      <c r="D8" t="n">
        <v>5</v>
      </c>
      <c r="E8" s="4" t="n">
        <v>0.7</v>
      </c>
      <c r="I8" s="8" t="n"/>
    </row>
    <row r="9">
      <c r="A9" s="7" t="inlineStr">
        <is>
          <t>注：五个权重之和不为 1 时，合计单元格变红，导出脚本将拒绝执行。</t>
        </is>
      </c>
      <c r="D9" s="7" t="inlineStr">
        <is>
          <t>短板效应：剩余风险按单条风险“关键控制点最低分”取折减系数（无关键标记则按全部控制点最低分）</t>
        </is>
      </c>
    </row>
    <row r="10">
      <c r="D10" t="inlineStr">
        <is>
          <t>参考折减系数</t>
        </is>
      </c>
      <c r="E10" s="4" t="n">
        <v>0.4</v>
      </c>
    </row>
    <row r="11">
      <c r="A11" s="2" t="inlineStr">
        <is>
          <t>剩余风险等级阈值（≥）</t>
        </is>
      </c>
      <c r="D11" s="7" t="inlineStr">
        <is>
          <t>仅用于热力图页剩余矩阵的着色基准</t>
        </is>
      </c>
    </row>
    <row r="12">
      <c r="A12" t="inlineStr">
        <is>
          <t>极高风险</t>
        </is>
      </c>
      <c r="B12" s="10" t="n">
        <v>20</v>
      </c>
    </row>
    <row r="13">
      <c r="A13" t="inlineStr">
        <is>
          <t>高风险</t>
        </is>
      </c>
      <c r="B13" s="10" t="n">
        <v>12</v>
      </c>
      <c r="D13" t="inlineStr">
        <is>
          <t>一票否决系数</t>
        </is>
      </c>
      <c r="E13" s="4" t="n">
        <v>0.75</v>
      </c>
    </row>
    <row r="14">
      <c r="A14" t="inlineStr">
        <is>
          <t>中风险</t>
        </is>
      </c>
      <c r="B14" s="10" t="n">
        <v>6</v>
      </c>
      <c r="D14" s="7" t="inlineStr">
        <is>
          <t>综合影响 = MAX(加权分, 该系数×最高维度分)：任一维度打高分时致命后果不被其他维度稀释</t>
        </is>
      </c>
    </row>
    <row r="15">
      <c r="A15" t="inlineStr">
        <is>
          <t>低风险</t>
        </is>
      </c>
      <c r="B15" s="10" t="n">
        <v>3</v>
      </c>
    </row>
    <row r="17">
      <c r="A17" s="2" t="inlineStr">
        <is>
          <t>颜色图例</t>
        </is>
      </c>
    </row>
    <row r="18">
      <c r="A18" s="11" t="inlineStr">
        <is>
          <t>极高</t>
        </is>
      </c>
    </row>
    <row r="19">
      <c r="A19" s="12" t="inlineStr">
        <is>
          <t>高</t>
        </is>
      </c>
    </row>
    <row r="20">
      <c r="A20" s="13" t="inlineStr">
        <is>
          <t>中</t>
        </is>
      </c>
    </row>
    <row r="21">
      <c r="A21" s="14" t="inlineStr">
        <is>
          <t>低</t>
        </is>
      </c>
    </row>
    <row r="22">
      <c r="A22" s="15" t="inlineStr">
        <is>
          <t>极低</t>
        </is>
      </c>
    </row>
    <row r="24">
      <c r="A24" s="2" t="inlineStr">
        <is>
          <t>分领域影响权重矩阵（各行列合计须=1；登记册领域未列出时自动使用“全领域默认”行）</t>
        </is>
      </c>
    </row>
    <row r="25" ht="20" customHeight="1">
      <c r="A25" s="5" t="inlineStr">
        <is>
          <t>领域＼维度</t>
        </is>
      </c>
      <c r="B25" s="5" t="inlineStr">
        <is>
          <t>经济损失</t>
        </is>
      </c>
      <c r="C25" s="5" t="inlineStr">
        <is>
          <t>合规法律</t>
        </is>
      </c>
      <c r="D25" s="5" t="inlineStr">
        <is>
          <t>运营中断</t>
        </is>
      </c>
      <c r="E25" s="5" t="inlineStr">
        <is>
          <t>声誉舆情</t>
        </is>
      </c>
      <c r="F25" s="5" t="inlineStr">
        <is>
          <t>舞弊风险</t>
        </is>
      </c>
      <c r="G25" s="5" t="inlineStr">
        <is>
          <t>行合计</t>
        </is>
      </c>
    </row>
    <row r="26">
      <c r="A26" s="16" t="inlineStr">
        <is>
          <t>全领域默认</t>
        </is>
      </c>
      <c r="B26" s="17" t="n">
        <v>0.3</v>
      </c>
      <c r="C26" s="17" t="n">
        <v>0.25</v>
      </c>
      <c r="D26" s="17" t="n">
        <v>0.15</v>
      </c>
      <c r="E26" s="17" t="n">
        <v>0.15</v>
      </c>
      <c r="F26" s="17" t="n">
        <v>0.15</v>
      </c>
      <c r="G26" s="18">
        <f>SUM(B26:F26)</f>
        <v/>
      </c>
    </row>
    <row r="27">
      <c r="A27" s="16" t="inlineStr">
        <is>
          <t>战略与投资</t>
        </is>
      </c>
      <c r="B27" s="17" t="n">
        <v>0.3</v>
      </c>
      <c r="C27" s="17" t="n">
        <v>0.15</v>
      </c>
      <c r="D27" s="17" t="n">
        <v>0.25</v>
      </c>
      <c r="E27" s="17" t="n">
        <v>0.25</v>
      </c>
      <c r="F27" s="17" t="n">
        <v>0.05</v>
      </c>
      <c r="G27" s="18">
        <f>SUM(B27:F27)</f>
        <v/>
      </c>
    </row>
    <row r="28">
      <c r="A28" s="16" t="inlineStr">
        <is>
          <t>治理与决策</t>
        </is>
      </c>
      <c r="B28" s="17" t="n">
        <v>0.25</v>
      </c>
      <c r="C28" s="17" t="n">
        <v>0.25</v>
      </c>
      <c r="D28" s="17" t="n">
        <v>0.15</v>
      </c>
      <c r="E28" s="17" t="n">
        <v>0.25</v>
      </c>
      <c r="F28" s="17" t="n">
        <v>0.1</v>
      </c>
      <c r="G28" s="18">
        <f>SUM(B28:F28)</f>
        <v/>
      </c>
    </row>
    <row r="29">
      <c r="A29" s="16" t="inlineStr">
        <is>
          <t>资金活动</t>
        </is>
      </c>
      <c r="B29" s="17" t="n">
        <v>0.4</v>
      </c>
      <c r="C29" s="17" t="n">
        <v>0.25</v>
      </c>
      <c r="D29" s="17" t="n">
        <v>0.1</v>
      </c>
      <c r="E29" s="17" t="n">
        <v>0.15</v>
      </c>
      <c r="F29" s="17" t="n">
        <v>0.1</v>
      </c>
      <c r="G29" s="18">
        <f>SUM(B29:F29)</f>
        <v/>
      </c>
    </row>
    <row r="30">
      <c r="A30" s="16" t="inlineStr">
        <is>
          <t>财务报告与税务</t>
        </is>
      </c>
      <c r="B30" s="17" t="n">
        <v>0.35</v>
      </c>
      <c r="C30" s="17" t="n">
        <v>0.3</v>
      </c>
      <c r="D30" s="17" t="n">
        <v>0.1</v>
      </c>
      <c r="E30" s="17" t="n">
        <v>0.2</v>
      </c>
      <c r="F30" s="17" t="n">
        <v>0.05</v>
      </c>
      <c r="G30" s="18">
        <f>SUM(B30:F30)</f>
        <v/>
      </c>
    </row>
    <row r="31">
      <c r="A31" s="16" t="inlineStr">
        <is>
          <t>资产管理</t>
        </is>
      </c>
      <c r="B31" s="17" t="n">
        <v>0.4</v>
      </c>
      <c r="C31" s="17" t="n">
        <v>0.1</v>
      </c>
      <c r="D31" s="17" t="n">
        <v>0.2</v>
      </c>
      <c r="E31" s="17" t="n">
        <v>0.15</v>
      </c>
      <c r="F31" s="17" t="n">
        <v>0.15</v>
      </c>
      <c r="G31" s="18">
        <f>SUM(B31:F31)</f>
        <v/>
      </c>
    </row>
    <row r="32">
      <c r="A32" s="16" t="inlineStr">
        <is>
          <t>采购与外包</t>
        </is>
      </c>
      <c r="B32" s="17" t="n">
        <v>0.25</v>
      </c>
      <c r="C32" s="17" t="n">
        <v>0.25</v>
      </c>
      <c r="D32" s="17" t="n">
        <v>0.1</v>
      </c>
      <c r="E32" s="17" t="n">
        <v>0.15</v>
      </c>
      <c r="F32" s="17" t="n">
        <v>0.25</v>
      </c>
      <c r="G32" s="18">
        <f>SUM(B32:F32)</f>
        <v/>
      </c>
    </row>
    <row r="33">
      <c r="A33" s="16" t="inlineStr">
        <is>
          <t>合同管理</t>
        </is>
      </c>
      <c r="B33" s="17" t="n">
        <v>0.25</v>
      </c>
      <c r="C33" s="17" t="n">
        <v>0.3</v>
      </c>
      <c r="D33" s="17" t="n">
        <v>0.15</v>
      </c>
      <c r="E33" s="17" t="n">
        <v>0.2</v>
      </c>
      <c r="F33" s="17" t="n">
        <v>0.1</v>
      </c>
      <c r="G33" s="18">
        <f>SUM(B33:F33)</f>
        <v/>
      </c>
    </row>
    <row r="34">
      <c r="A34" s="16" t="inlineStr">
        <is>
          <t>工程项目</t>
        </is>
      </c>
      <c r="B34" s="17" t="n">
        <v>0.35</v>
      </c>
      <c r="C34" s="17" t="n">
        <v>0.15</v>
      </c>
      <c r="D34" s="17" t="n">
        <v>0.2</v>
      </c>
      <c r="E34" s="17" t="n">
        <v>0.2</v>
      </c>
      <c r="F34" s="17" t="n">
        <v>0.1</v>
      </c>
      <c r="G34" s="18">
        <f>SUM(B34:F34)</f>
        <v/>
      </c>
    </row>
    <row r="35">
      <c r="A35" s="16" t="inlineStr">
        <is>
          <t>人力资源</t>
        </is>
      </c>
      <c r="B35" s="17" t="n">
        <v>0.2</v>
      </c>
      <c r="C35" s="17" t="n">
        <v>0.2</v>
      </c>
      <c r="D35" s="17" t="n">
        <v>0.25</v>
      </c>
      <c r="E35" s="17" t="n">
        <v>0.2</v>
      </c>
      <c r="F35" s="17" t="n">
        <v>0.15</v>
      </c>
      <c r="G35" s="18">
        <f>SUM(B35:F35)</f>
        <v/>
      </c>
    </row>
    <row r="36">
      <c r="A36" s="16" t="inlineStr">
        <is>
          <t>信息系统</t>
        </is>
      </c>
      <c r="B36" s="17" t="n">
        <v>0.15</v>
      </c>
      <c r="C36" s="17" t="n">
        <v>0.15</v>
      </c>
      <c r="D36" s="17" t="n">
        <v>0.35</v>
      </c>
      <c r="E36" s="17" t="n">
        <v>0.2</v>
      </c>
      <c r="F36" s="17" t="n">
        <v>0.15</v>
      </c>
      <c r="G36" s="18">
        <f>SUM(B36:F36)</f>
        <v/>
      </c>
    </row>
    <row r="37">
      <c r="A37" s="16" t="inlineStr">
        <is>
          <t>合规与法律</t>
        </is>
      </c>
      <c r="B37" s="17" t="n">
        <v>0.15</v>
      </c>
      <c r="C37" s="17" t="n">
        <v>0.45</v>
      </c>
      <c r="D37" s="17" t="n">
        <v>0.1</v>
      </c>
      <c r="E37" s="17" t="n">
        <v>0.25</v>
      </c>
      <c r="F37" s="17" t="n">
        <v>0.05</v>
      </c>
      <c r="G37" s="18">
        <f>SUM(B37:F37)</f>
        <v/>
      </c>
    </row>
    <row r="38">
      <c r="A38" s="16" t="inlineStr">
        <is>
          <t>安全环保</t>
        </is>
      </c>
      <c r="B38" s="17" t="n">
        <v>0.15</v>
      </c>
      <c r="C38" s="17" t="n">
        <v>0.3</v>
      </c>
      <c r="D38" s="17" t="n">
        <v>0.3</v>
      </c>
      <c r="E38" s="17" t="n">
        <v>0.25</v>
      </c>
      <c r="F38" s="17" t="n">
        <v>0</v>
      </c>
      <c r="G38" s="18">
        <f>SUM(B38:F38)</f>
        <v/>
      </c>
    </row>
  </sheetData>
  <conditionalFormatting sqref="B8">
    <cfRule type="cellIs" priority="1" operator="notEqual" dxfId="0" stopIfTrue="1">
      <formula>1</formula>
    </cfRule>
  </conditionalFormatting>
  <conditionalFormatting sqref="G26">
    <cfRule type="cellIs" priority="2" operator="notEqual" dxfId="0" stopIfTrue="1">
      <formula>1</formula>
    </cfRule>
  </conditionalFormatting>
  <conditionalFormatting sqref="G27">
    <cfRule type="cellIs" priority="3" operator="notEqual" dxfId="0" stopIfTrue="1">
      <formula>1</formula>
    </cfRule>
  </conditionalFormatting>
  <conditionalFormatting sqref="G28">
    <cfRule type="cellIs" priority="4" operator="notEqual" dxfId="0" stopIfTrue="1">
      <formula>1</formula>
    </cfRule>
  </conditionalFormatting>
  <conditionalFormatting sqref="G29">
    <cfRule type="cellIs" priority="5" operator="notEqual" dxfId="0" stopIfTrue="1">
      <formula>1</formula>
    </cfRule>
  </conditionalFormatting>
  <conditionalFormatting sqref="G30">
    <cfRule type="cellIs" priority="6" operator="notEqual" dxfId="0" stopIfTrue="1">
      <formula>1</formula>
    </cfRule>
  </conditionalFormatting>
  <conditionalFormatting sqref="G31">
    <cfRule type="cellIs" priority="7" operator="notEqual" dxfId="0" stopIfTrue="1">
      <formula>1</formula>
    </cfRule>
  </conditionalFormatting>
  <conditionalFormatting sqref="G32">
    <cfRule type="cellIs" priority="8" operator="notEqual" dxfId="0" stopIfTrue="1">
      <formula>1</formula>
    </cfRule>
  </conditionalFormatting>
  <conditionalFormatting sqref="G33">
    <cfRule type="cellIs" priority="9" operator="notEqual" dxfId="0" stopIfTrue="1">
      <formula>1</formula>
    </cfRule>
  </conditionalFormatting>
  <conditionalFormatting sqref="G34">
    <cfRule type="cellIs" priority="10" operator="notEqual" dxfId="0" stopIfTrue="1">
      <formula>1</formula>
    </cfRule>
  </conditionalFormatting>
  <conditionalFormatting sqref="G35">
    <cfRule type="cellIs" priority="11" operator="notEqual" dxfId="0" stopIfTrue="1">
      <formula>1</formula>
    </cfRule>
  </conditionalFormatting>
  <conditionalFormatting sqref="G36">
    <cfRule type="cellIs" priority="12" operator="notEqual" dxfId="0" stopIfTrue="1">
      <formula>1</formula>
    </cfRule>
  </conditionalFormatting>
  <conditionalFormatting sqref="G37">
    <cfRule type="cellIs" priority="13" operator="notEqual" dxfId="0" stopIfTrue="1">
      <formula>1</formula>
    </cfRule>
  </conditionalFormatting>
  <conditionalFormatting sqref="G38">
    <cfRule type="cellIs" priority="14" operator="notEqual" dxfId="0" stopIfTrue="1">
      <formula>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W20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12" customWidth="1" min="3" max="3"/>
    <col width="42" customWidth="1" min="4" max="4"/>
    <col width="11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8" customWidth="1" min="19" max="19"/>
    <col width="8" customWidth="1" min="20" max="20"/>
    <col width="11" customWidth="1" min="21" max="21"/>
    <col width="10" customWidth="1" min="22" max="22"/>
    <col width="40" customWidth="1" min="23" max="23"/>
  </cols>
  <sheetData>
    <row r="1">
      <c r="A1" s="1" t="inlineStr">
        <is>
          <t>风险登记册（黄色列录入，灰色列自动计算，请勿改写公式）</t>
        </is>
      </c>
    </row>
    <row r="3" ht="30" customHeight="1">
      <c r="A3" s="5" t="inlineStr">
        <is>
          <t>风险编号</t>
        </is>
      </c>
      <c r="B3" s="5" t="inlineStr">
        <is>
          <t>风险名称</t>
        </is>
      </c>
      <c r="C3" s="5" t="inlineStr">
        <is>
          <t>所属领域</t>
        </is>
      </c>
      <c r="D3" s="5" t="inlineStr">
        <is>
          <t>风险描述</t>
        </is>
      </c>
      <c r="E3" s="5" t="inlineStr">
        <is>
          <t>责任部门</t>
        </is>
      </c>
      <c r="F3" s="5" t="inlineStr">
        <is>
          <t>评估期间</t>
        </is>
      </c>
      <c r="G3" s="5" t="inlineStr">
        <is>
          <t>发生可能性
(1-5)</t>
        </is>
      </c>
      <c r="H3" s="5" t="inlineStr">
        <is>
          <t>经济损失
(1-5)</t>
        </is>
      </c>
      <c r="I3" s="5" t="inlineStr">
        <is>
          <t>合规法律
(1-5)</t>
        </is>
      </c>
      <c r="J3" s="5" t="inlineStr">
        <is>
          <t>运营中断
(1-5)</t>
        </is>
      </c>
      <c r="K3" s="5" t="inlineStr">
        <is>
          <t>声誉舆情
(1-5)</t>
        </is>
      </c>
      <c r="L3" s="5" t="inlineStr">
        <is>
          <t>舞弊风险
(1-5)</t>
        </is>
      </c>
      <c r="M3" s="5" t="inlineStr">
        <is>
          <t>综合影响</t>
        </is>
      </c>
      <c r="N3" s="5" t="inlineStr">
        <is>
          <t>固有风险</t>
        </is>
      </c>
      <c r="O3" s="5" t="inlineStr">
        <is>
          <t>最弱控制分</t>
        </is>
      </c>
      <c r="P3" s="5" t="inlineStr">
        <is>
          <t>折减系数</t>
        </is>
      </c>
      <c r="Q3" s="5" t="inlineStr">
        <is>
          <t>剩余风险</t>
        </is>
      </c>
      <c r="R3" s="5" t="inlineStr">
        <is>
          <t>剩余等级</t>
        </is>
      </c>
      <c r="S3" s="5" t="inlineStr">
        <is>
          <t>影响档
(辅助)</t>
        </is>
      </c>
      <c r="T3" s="5" t="inlineStr">
        <is>
          <t>固有档
(辅助)</t>
        </is>
      </c>
      <c r="U3" s="5" t="inlineStr">
        <is>
          <t>建议审计频次</t>
        </is>
      </c>
      <c r="V3" s="5" t="inlineStr">
        <is>
          <t>控制挽回率</t>
        </is>
      </c>
      <c r="W3" s="5" t="inlineStr">
        <is>
          <t>打分依据</t>
        </is>
      </c>
    </row>
    <row r="4">
      <c r="A4" s="19" t="inlineStr">
        <is>
          <t>R001</t>
        </is>
      </c>
      <c r="B4" s="19" t="inlineStr">
        <is>
          <t>费用报销合规风险</t>
        </is>
      </c>
      <c r="C4" s="19" t="inlineStr">
        <is>
          <t>资金活动</t>
        </is>
      </c>
      <c r="D4" s="19" t="inlineStr">
        <is>
          <t>大额异常费用报销审核不到位，存在虚假报销套取资金可能</t>
        </is>
      </c>
      <c r="E4" s="19" t="inlineStr">
        <is>
          <t>财务部</t>
        </is>
      </c>
      <c r="F4" s="19" t="inlineStr">
        <is>
          <t>2025H2</t>
        </is>
      </c>
      <c r="G4" s="6" t="n">
        <v>4</v>
      </c>
      <c r="H4" s="6" t="n">
        <v>4</v>
      </c>
      <c r="I4" s="6" t="n">
        <v>4</v>
      </c>
      <c r="J4" s="6" t="n">
        <v>2</v>
      </c>
      <c r="K4" s="6" t="n">
        <v>3</v>
      </c>
      <c r="L4" s="6" t="n">
        <v>5</v>
      </c>
      <c r="M4" s="20">
        <f>IF($A4="","",ROUND(MAX(SUMPRODUCT(H4:L4,IFERROR(VLOOKUP($C4,参数配置!$A$26:$F$38,{2,3,4,5,6},FALSE),VLOOKUP(参数配置!$A$26,参数配置!$A$26:$F$38,{2,3,4,5,6},FALSE))),参数配置!$E$13*MAX(H4:L4)),2))</f>
        <v/>
      </c>
      <c r="N4" s="20">
        <f>IF($A4="","",ROUND(G4*M4,2))</f>
        <v/>
      </c>
      <c r="O4" s="3">
        <f>IF($A4="","",IF(COUNTIFS(控制措施表!$B:$B,$A4,控制措施表!$C:$C,$F4,控制措施表!$F:$F,"是")=0,IF(COUNTIFS(控制措施表!$B:$B,$A4,控制措施表!$C:$C,$F4)=0,"",MINIFS(控制措施表!$E:$E,控制措施表!$B:$B,$A4,控制措施表!$C:$C,$F4)),MINIFS(控制措施表!$E:$E,控制措施表!$B:$B,$A4,控制措施表!$C:$C,$F4,控制措施表!$F:$F,"是")))</f>
        <v/>
      </c>
      <c r="P4" s="21">
        <f>IF($A4="","",IF(N4="",0,VLOOKUP(N4,参数配置!$D$4:$E$8,2,FALSE)))</f>
        <v/>
      </c>
      <c r="Q4" s="20">
        <f>IF($A4="","",ROUND(O4*(1-P4),2))</f>
        <v/>
      </c>
      <c r="R4" s="3">
        <f>IF($A4="","",IF(Q4&gt;=参数配置!$B$12,"极高",IF(Q4&gt;=参数配置!$B$13,"高",IF(Q4&gt;=参数配置!$B$14,"中",IF(Q4&gt;=参数配置!$B$15,"低","极低")))))</f>
        <v/>
      </c>
      <c r="S4" s="3">
        <f>IF($A4="","",ROUND(M4,0))</f>
        <v/>
      </c>
      <c r="T4" s="3">
        <f>IF($A4="","",ROUND(N4,0))</f>
        <v/>
      </c>
      <c r="U4" s="3">
        <f>IF($A4="","",IF(R4="极高","每年必审",IF(R4="高","每年审计",IF(R4="中","两年一轮","按需抽查"))))</f>
        <v/>
      </c>
      <c r="V4" s="21">
        <f>IF($A4="","",IF(N4=0,"",(N4-Q4)/N4))</f>
        <v/>
      </c>
      <c r="W4" s="19" t="inlineStr">
        <is>
          <t>2025 年内审抽查发现 3 笔超标准报销；预算系统 2025Q4 上线刚性拦截</t>
        </is>
      </c>
    </row>
    <row r="5">
      <c r="A5" s="19" t="inlineStr">
        <is>
          <t>R001</t>
        </is>
      </c>
      <c r="B5" s="19" t="inlineStr">
        <is>
          <t>费用报销合规风险</t>
        </is>
      </c>
      <c r="C5" s="19" t="inlineStr">
        <is>
          <t>资金活动</t>
        </is>
      </c>
      <c r="D5" s="19" t="inlineStr">
        <is>
          <t>大额异常费用报销审核不到位，存在虚假报销套取资金可能</t>
        </is>
      </c>
      <c r="E5" s="19" t="inlineStr">
        <is>
          <t>财务部</t>
        </is>
      </c>
      <c r="F5" s="19" t="inlineStr">
        <is>
          <t>2026H1</t>
        </is>
      </c>
      <c r="G5" s="6" t="n">
        <v>3</v>
      </c>
      <c r="H5" s="6" t="n">
        <v>4</v>
      </c>
      <c r="I5" s="6" t="n">
        <v>4</v>
      </c>
      <c r="J5" s="6" t="n">
        <v>2</v>
      </c>
      <c r="K5" s="6" t="n">
        <v>3</v>
      </c>
      <c r="L5" s="6" t="n">
        <v>4</v>
      </c>
      <c r="M5" s="20">
        <f>IF($A5="","",ROUND(MAX(SUMPRODUCT(H5:L5,IFERROR(VLOOKUP($C5,参数配置!$A$26:$F$38,{2,3,4,5,6},FALSE),VLOOKUP(参数配置!$A$26,参数配置!$A$26:$F$38,{2,3,4,5,6},FALSE))),参数配置!$E$13*MAX(H5:L5)),2))</f>
        <v/>
      </c>
      <c r="N5" s="20">
        <f>IF($A5="","",ROUND(G5*M5,2))</f>
        <v/>
      </c>
      <c r="O5" s="3">
        <f>IF($A5="","",IF(COUNTIFS(控制措施表!$B:$B,$A5,控制措施表!$C:$C,$F5,控制措施表!$F:$F,"是")=0,IF(COUNTIFS(控制措施表!$B:$B,$A5,控制措施表!$C:$C,$F5)=0,"",MINIFS(控制措施表!$E:$E,控制措施表!$B:$B,$A5,控制措施表!$C:$C,$F5)),MINIFS(控制措施表!$E:$E,控制措施表!$B:$B,$A5,控制措施表!$C:$C,$F5,控制措施表!$F:$F,"是")))</f>
        <v/>
      </c>
      <c r="P5" s="21">
        <f>IF($A5="","",IF(N5="",0,VLOOKUP(N5,参数配置!$D$4:$E$8,2,FALSE)))</f>
        <v/>
      </c>
      <c r="Q5" s="20">
        <f>IF($A5="","",ROUND(O5*(1-P5),2))</f>
        <v/>
      </c>
      <c r="R5" s="3">
        <f>IF($A5="","",IF(Q5&gt;=参数配置!$B$12,"极高",IF(Q5&gt;=参数配置!$B$13,"高",IF(Q5&gt;=参数配置!$B$14,"中",IF(Q5&gt;=参数配置!$B$15,"低","极低")))))</f>
        <v/>
      </c>
      <c r="S5" s="3">
        <f>IF($A5="","",ROUND(M5,0))</f>
        <v/>
      </c>
      <c r="T5" s="3">
        <f>IF($A5="","",ROUND(N5,0))</f>
        <v/>
      </c>
      <c r="U5" s="3">
        <f>IF($A5="","",IF(R5="极高","每年必审",IF(R5="高","每年审计",IF(R5="中","两年一轮","按需抽查"))))</f>
        <v/>
      </c>
      <c r="V5" s="21">
        <f>IF($A5="","",IF(N5=0,"",(N5-Q5)/N5))</f>
        <v/>
      </c>
      <c r="W5" s="19" t="inlineStr">
        <is>
          <t>2025 年内审抽查发现 3 笔超标准报销；预算系统 2025Q4 上线刚性拦截</t>
        </is>
      </c>
    </row>
    <row r="6">
      <c r="A6" s="19" t="inlineStr">
        <is>
          <t>R002</t>
        </is>
      </c>
      <c r="B6" s="19" t="inlineStr">
        <is>
          <t>收入确认完整性</t>
        </is>
      </c>
      <c r="C6" s="19" t="inlineStr">
        <is>
          <t>财务报告与税务</t>
        </is>
      </c>
      <c r="D6" s="19" t="inlineStr">
        <is>
          <t>收入截止性错误或提前确认，导致财报失真</t>
        </is>
      </c>
      <c r="E6" s="19" t="inlineStr">
        <is>
          <t>财务部</t>
        </is>
      </c>
      <c r="F6" s="19" t="inlineStr">
        <is>
          <t>2025H2</t>
        </is>
      </c>
      <c r="G6" s="6" t="n">
        <v>3</v>
      </c>
      <c r="H6" s="6" t="n">
        <v>5</v>
      </c>
      <c r="I6" s="6" t="n">
        <v>4</v>
      </c>
      <c r="J6" s="6" t="n">
        <v>3</v>
      </c>
      <c r="K6" s="6" t="n">
        <v>4</v>
      </c>
      <c r="L6" s="6" t="n">
        <v>2</v>
      </c>
      <c r="M6" s="20">
        <f>IF($A6="","",ROUND(MAX(SUMPRODUCT(H6:L6,IFERROR(VLOOKUP($C6,参数配置!$A$26:$F$38,{2,3,4,5,6},FALSE),VLOOKUP(参数配置!$A$26,参数配置!$A$26:$F$38,{2,3,4,5,6},FALSE))),参数配置!$E$13*MAX(H6:L6)),2))</f>
        <v/>
      </c>
      <c r="N6" s="20">
        <f>IF($A6="","",ROUND(G6*M6,2))</f>
        <v/>
      </c>
      <c r="O6" s="3">
        <f>IF($A6="","",IF(COUNTIFS(控制措施表!$B:$B,$A6,控制措施表!$C:$C,$F6,控制措施表!$F:$F,"是")=0,IF(COUNTIFS(控制措施表!$B:$B,$A6,控制措施表!$C:$C,$F6)=0,"",MINIFS(控制措施表!$E:$E,控制措施表!$B:$B,$A6,控制措施表!$C:$C,$F6)),MINIFS(控制措施表!$E:$E,控制措施表!$B:$B,$A6,控制措施表!$C:$C,$F6,控制措施表!$F:$F,"是")))</f>
        <v/>
      </c>
      <c r="P6" s="21">
        <f>IF($A6="","",IF(N6="",0,VLOOKUP(N6,参数配置!$D$4:$E$8,2,FALSE)))</f>
        <v/>
      </c>
      <c r="Q6" s="20">
        <f>IF($A6="","",ROUND(O6*(1-P6),2))</f>
        <v/>
      </c>
      <c r="R6" s="3">
        <f>IF($A6="","",IF(Q6&gt;=参数配置!$B$12,"极高",IF(Q6&gt;=参数配置!$B$13,"高",IF(Q6&gt;=参数配置!$B$14,"中",IF(Q6&gt;=参数配置!$B$15,"低","极低")))))</f>
        <v/>
      </c>
      <c r="S6" s="3">
        <f>IF($A6="","",ROUND(M6,0))</f>
        <v/>
      </c>
      <c r="T6" s="3">
        <f>IF($A6="","",ROUND(N6,0))</f>
        <v/>
      </c>
      <c r="U6" s="3">
        <f>IF($A6="","",IF(R6="极高","每年必审",IF(R6="高","每年审计",IF(R6="中","两年一轮","按需抽查"))))</f>
        <v/>
      </c>
      <c r="V6" s="21">
        <f>IF($A6="","",IF(N6=0,"",(N6-Q6)/N6))</f>
        <v/>
      </c>
      <c r="W6" s="19" t="inlineStr">
        <is>
          <t>上年度审计调整收入截止事项 2 项，涉及金额 120 万元</t>
        </is>
      </c>
    </row>
    <row r="7">
      <c r="A7" s="19" t="inlineStr">
        <is>
          <t>R002</t>
        </is>
      </c>
      <c r="B7" s="19" t="inlineStr">
        <is>
          <t>收入确认完整性</t>
        </is>
      </c>
      <c r="C7" s="19" t="inlineStr">
        <is>
          <t>财务报告与税务</t>
        </is>
      </c>
      <c r="D7" s="19" t="inlineStr">
        <is>
          <t>收入截止性错误或提前确认，导致财报失真</t>
        </is>
      </c>
      <c r="E7" s="19" t="inlineStr">
        <is>
          <t>财务部</t>
        </is>
      </c>
      <c r="F7" s="19" t="inlineStr">
        <is>
          <t>2026H1</t>
        </is>
      </c>
      <c r="G7" s="6" t="n">
        <v>2</v>
      </c>
      <c r="H7" s="6" t="n">
        <v>5</v>
      </c>
      <c r="I7" s="6" t="n">
        <v>4</v>
      </c>
      <c r="J7" s="6" t="n">
        <v>3</v>
      </c>
      <c r="K7" s="6" t="n">
        <v>4</v>
      </c>
      <c r="L7" s="6" t="n">
        <v>2</v>
      </c>
      <c r="M7" s="20">
        <f>IF($A7="","",ROUND(MAX(SUMPRODUCT(H7:L7,IFERROR(VLOOKUP($C7,参数配置!$A$26:$F$38,{2,3,4,5,6},FALSE),VLOOKUP(参数配置!$A$26,参数配置!$A$26:$F$38,{2,3,4,5,6},FALSE))),参数配置!$E$13*MAX(H7:L7)),2))</f>
        <v/>
      </c>
      <c r="N7" s="20">
        <f>IF($A7="","",ROUND(G7*M7,2))</f>
        <v/>
      </c>
      <c r="O7" s="3">
        <f>IF($A7="","",IF(COUNTIFS(控制措施表!$B:$B,$A7,控制措施表!$C:$C,$F7,控制措施表!$F:$F,"是")=0,IF(COUNTIFS(控制措施表!$B:$B,$A7,控制措施表!$C:$C,$F7)=0,"",MINIFS(控制措施表!$E:$E,控制措施表!$B:$B,$A7,控制措施表!$C:$C,$F7)),MINIFS(控制措施表!$E:$E,控制措施表!$B:$B,$A7,控制措施表!$C:$C,$F7,控制措施表!$F:$F,"是")))</f>
        <v/>
      </c>
      <c r="P7" s="21">
        <f>IF($A7="","",IF(N7="",0,VLOOKUP(N7,参数配置!$D$4:$E$8,2,FALSE)))</f>
        <v/>
      </c>
      <c r="Q7" s="20">
        <f>IF($A7="","",ROUND(O7*(1-P7),2))</f>
        <v/>
      </c>
      <c r="R7" s="3">
        <f>IF($A7="","",IF(Q7&gt;=参数配置!$B$12,"极高",IF(Q7&gt;=参数配置!$B$13,"高",IF(Q7&gt;=参数配置!$B$14,"中",IF(Q7&gt;=参数配置!$B$15,"低","极低")))))</f>
        <v/>
      </c>
      <c r="S7" s="3">
        <f>IF($A7="","",ROUND(M7,0))</f>
        <v/>
      </c>
      <c r="T7" s="3">
        <f>IF($A7="","",ROUND(N7,0))</f>
        <v/>
      </c>
      <c r="U7" s="3">
        <f>IF($A7="","",IF(R7="极高","每年必审",IF(R7="高","每年审计",IF(R7="中","两年一轮","按需抽查"))))</f>
        <v/>
      </c>
      <c r="V7" s="21">
        <f>IF($A7="","",IF(N7=0,"",(N7-Q7)/N7))</f>
        <v/>
      </c>
      <c r="W7" s="19" t="inlineStr">
        <is>
          <t>上年度审计调整收入截止事项 2 项，涉及金额 120 万元</t>
        </is>
      </c>
    </row>
    <row r="8">
      <c r="A8" s="19" t="inlineStr">
        <is>
          <t>R003</t>
        </is>
      </c>
      <c r="B8" s="19" t="inlineStr">
        <is>
          <t>资金支付越权审批</t>
        </is>
      </c>
      <c r="C8" s="19" t="inlineStr">
        <is>
          <t>资金活动</t>
        </is>
      </c>
      <c r="D8" s="19" t="inlineStr">
        <is>
          <t>超权限支付未履行集体决策程序，资金安全存在隐患</t>
        </is>
      </c>
      <c r="E8" s="19" t="inlineStr">
        <is>
          <t>财务部</t>
        </is>
      </c>
      <c r="F8" s="19" t="inlineStr">
        <is>
          <t>2025H2</t>
        </is>
      </c>
      <c r="G8" s="6" t="n">
        <v>3</v>
      </c>
      <c r="H8" s="6" t="n">
        <v>5</v>
      </c>
      <c r="I8" s="6" t="n">
        <v>5</v>
      </c>
      <c r="J8" s="6" t="n">
        <v>3</v>
      </c>
      <c r="K8" s="6" t="n">
        <v>4</v>
      </c>
      <c r="L8" s="6" t="n">
        <v>4</v>
      </c>
      <c r="M8" s="20">
        <f>IF($A8="","",ROUND(MAX(SUMPRODUCT(H8:L8,IFERROR(VLOOKUP($C8,参数配置!$A$26:$F$38,{2,3,4,5,6},FALSE),VLOOKUP(参数配置!$A$26,参数配置!$A$26:$F$38,{2,3,4,5,6},FALSE))),参数配置!$E$13*MAX(H8:L8)),2))</f>
        <v/>
      </c>
      <c r="N8" s="20">
        <f>IF($A8="","",ROUND(G8*M8,2))</f>
        <v/>
      </c>
      <c r="O8" s="3">
        <f>IF($A8="","",IF(COUNTIFS(控制措施表!$B:$B,$A8,控制措施表!$C:$C,$F8,控制措施表!$F:$F,"是")=0,IF(COUNTIFS(控制措施表!$B:$B,$A8,控制措施表!$C:$C,$F8)=0,"",MINIFS(控制措施表!$E:$E,控制措施表!$B:$B,$A8,控制措施表!$C:$C,$F8)),MINIFS(控制措施表!$E:$E,控制措施表!$B:$B,$A8,控制措施表!$C:$C,$F8,控制措施表!$F:$F,"是")))</f>
        <v/>
      </c>
      <c r="P8" s="21">
        <f>IF($A8="","",IF(N8="",0,VLOOKUP(N8,参数配置!$D$4:$E$8,2,FALSE)))</f>
        <v/>
      </c>
      <c r="Q8" s="20">
        <f>IF($A8="","",ROUND(O8*(1-P8),2))</f>
        <v/>
      </c>
      <c r="R8" s="3">
        <f>IF($A8="","",IF(Q8&gt;=参数配置!$B$12,"极高",IF(Q8&gt;=参数配置!$B$13,"高",IF(Q8&gt;=参数配置!$B$14,"中",IF(Q8&gt;=参数配置!$B$15,"低","极低")))))</f>
        <v/>
      </c>
      <c r="S8" s="3">
        <f>IF($A8="","",ROUND(M8,0))</f>
        <v/>
      </c>
      <c r="T8" s="3">
        <f>IF($A8="","",ROUND(N8,0))</f>
        <v/>
      </c>
      <c r="U8" s="3">
        <f>IF($A8="","",IF(R8="极高","每年必审",IF(R8="高","每年审计",IF(R8="中","两年一轮","按需抽查"))))</f>
        <v/>
      </c>
      <c r="V8" s="21">
        <f>IF($A8="","",IF(N8=0,"",(N8-Q8)/N8))</f>
        <v/>
      </c>
      <c r="W8" s="19" t="inlineStr">
        <is>
          <t>资金制度修订后未再发现越权支付；网银复核日志抽查正常</t>
        </is>
      </c>
    </row>
    <row r="9">
      <c r="A9" s="19" t="inlineStr">
        <is>
          <t>R003</t>
        </is>
      </c>
      <c r="B9" s="19" t="inlineStr">
        <is>
          <t>资金支付越权审批</t>
        </is>
      </c>
      <c r="C9" s="19" t="inlineStr">
        <is>
          <t>资金活动</t>
        </is>
      </c>
      <c r="D9" s="19" t="inlineStr">
        <is>
          <t>超权限支付未履行集体决策程序，资金安全存在隐患</t>
        </is>
      </c>
      <c r="E9" s="19" t="inlineStr">
        <is>
          <t>财务部</t>
        </is>
      </c>
      <c r="F9" s="19" t="inlineStr">
        <is>
          <t>2026H1</t>
        </is>
      </c>
      <c r="G9" s="6" t="n">
        <v>2</v>
      </c>
      <c r="H9" s="6" t="n">
        <v>5</v>
      </c>
      <c r="I9" s="6" t="n">
        <v>5</v>
      </c>
      <c r="J9" s="6" t="n">
        <v>3</v>
      </c>
      <c r="K9" s="6" t="n">
        <v>4</v>
      </c>
      <c r="L9" s="6" t="n">
        <v>4</v>
      </c>
      <c r="M9" s="20">
        <f>IF($A9="","",ROUND(MAX(SUMPRODUCT(H9:L9,IFERROR(VLOOKUP($C9,参数配置!$A$26:$F$38,{2,3,4,5,6},FALSE),VLOOKUP(参数配置!$A$26,参数配置!$A$26:$F$38,{2,3,4,5,6},FALSE))),参数配置!$E$13*MAX(H9:L9)),2))</f>
        <v/>
      </c>
      <c r="N9" s="20">
        <f>IF($A9="","",ROUND(G9*M9,2))</f>
        <v/>
      </c>
      <c r="O9" s="3">
        <f>IF($A9="","",IF(COUNTIFS(控制措施表!$B:$B,$A9,控制措施表!$C:$C,$F9,控制措施表!$F:$F,"是")=0,IF(COUNTIFS(控制措施表!$B:$B,$A9,控制措施表!$C:$C,$F9)=0,"",MINIFS(控制措施表!$E:$E,控制措施表!$B:$B,$A9,控制措施表!$C:$C,$F9)),MINIFS(控制措施表!$E:$E,控制措施表!$B:$B,$A9,控制措施表!$C:$C,$F9,控制措施表!$F:$F,"是")))</f>
        <v/>
      </c>
      <c r="P9" s="21">
        <f>IF($A9="","",IF(N9="",0,VLOOKUP(N9,参数配置!$D$4:$E$8,2,FALSE)))</f>
        <v/>
      </c>
      <c r="Q9" s="20">
        <f>IF($A9="","",ROUND(O9*(1-P9),2))</f>
        <v/>
      </c>
      <c r="R9" s="3">
        <f>IF($A9="","",IF(Q9&gt;=参数配置!$B$12,"极高",IF(Q9&gt;=参数配置!$B$13,"高",IF(Q9&gt;=参数配置!$B$14,"中",IF(Q9&gt;=参数配置!$B$15,"低","极低")))))</f>
        <v/>
      </c>
      <c r="S9" s="3">
        <f>IF($A9="","",ROUND(M9,0))</f>
        <v/>
      </c>
      <c r="T9" s="3">
        <f>IF($A9="","",ROUND(N9,0))</f>
        <v/>
      </c>
      <c r="U9" s="3">
        <f>IF($A9="","",IF(R9="极高","每年必审",IF(R9="高","每年审计",IF(R9="中","两年一轮","按需抽查"))))</f>
        <v/>
      </c>
      <c r="V9" s="21">
        <f>IF($A9="","",IF(N9=0,"",(N9-Q9)/N9))</f>
        <v/>
      </c>
      <c r="W9" s="19" t="inlineStr">
        <is>
          <t>资金制度修订后未再发现越权支付；网银复核日志抽查正常</t>
        </is>
      </c>
    </row>
    <row r="10">
      <c r="A10" s="19" t="inlineStr">
        <is>
          <t>R004</t>
        </is>
      </c>
      <c r="B10" s="19" t="inlineStr">
        <is>
          <t>供应商准入与围标串标</t>
        </is>
      </c>
      <c r="C10" s="19" t="inlineStr">
        <is>
          <t>采购与外包</t>
        </is>
      </c>
      <c r="D10" s="19" t="inlineStr">
        <is>
          <t>准入把关不严，关联供应商围标串标，采购价格虚高</t>
        </is>
      </c>
      <c r="E10" s="19" t="inlineStr">
        <is>
          <t>采购部</t>
        </is>
      </c>
      <c r="F10" s="19" t="inlineStr">
        <is>
          <t>2025H2</t>
        </is>
      </c>
      <c r="G10" s="6" t="n">
        <v>4</v>
      </c>
      <c r="H10" s="6" t="n">
        <v>4</v>
      </c>
      <c r="I10" s="6" t="n">
        <v>4</v>
      </c>
      <c r="J10" s="6" t="n">
        <v>3</v>
      </c>
      <c r="K10" s="6" t="n">
        <v>4</v>
      </c>
      <c r="L10" s="6" t="n">
        <v>5</v>
      </c>
      <c r="M10" s="20">
        <f>IF($A10="","",ROUND(MAX(SUMPRODUCT(H10:L10,IFERROR(VLOOKUP($C10,参数配置!$A$26:$F$38,{2,3,4,5,6},FALSE),VLOOKUP(参数配置!$A$26,参数配置!$A$26:$F$38,{2,3,4,5,6},FALSE))),参数配置!$E$13*MAX(H10:L10)),2))</f>
        <v/>
      </c>
      <c r="N10" s="20">
        <f>IF($A10="","",ROUND(G10*M10,2))</f>
        <v/>
      </c>
      <c r="O10" s="3">
        <f>IF($A10="","",IF(COUNTIFS(控制措施表!$B:$B,$A10,控制措施表!$C:$C,$F10,控制措施表!$F:$F,"是")=0,IF(COUNTIFS(控制措施表!$B:$B,$A10,控制措施表!$C:$C,$F10)=0,"",MINIFS(控制措施表!$E:$E,控制措施表!$B:$B,$A10,控制措施表!$C:$C,$F10)),MINIFS(控制措施表!$E:$E,控制措施表!$B:$B,$A10,控制措施表!$C:$C,$F10,控制措施表!$F:$F,"是")))</f>
        <v/>
      </c>
      <c r="P10" s="21">
        <f>IF($A10="","",IF(N10="",0,VLOOKUP(N10,参数配置!$D$4:$E$8,2,FALSE)))</f>
        <v/>
      </c>
      <c r="Q10" s="20">
        <f>IF($A10="","",ROUND(O10*(1-P10),2))</f>
        <v/>
      </c>
      <c r="R10" s="3">
        <f>IF($A10="","",IF(Q10&gt;=参数配置!$B$12,"极高",IF(Q10&gt;=参数配置!$B$13,"高",IF(Q10&gt;=参数配置!$B$14,"中",IF(Q10&gt;=参数配置!$B$15,"低","极低")))))</f>
        <v/>
      </c>
      <c r="S10" s="3">
        <f>IF($A10="","",ROUND(M10,0))</f>
        <v/>
      </c>
      <c r="T10" s="3">
        <f>IF($A10="","",ROUND(N10,0))</f>
        <v/>
      </c>
      <c r="U10" s="3">
        <f>IF($A10="","",IF(R10="极高","每年必审",IF(R10="高","每年审计",IF(R10="中","两年一轮","按需抽查"))))</f>
        <v/>
      </c>
      <c r="V10" s="21">
        <f>IF($A10="","",IF(N10=0,"",(N10-Q10)/N10))</f>
        <v/>
      </c>
      <c r="W10" s="19" t="inlineStr">
        <is>
          <t>近两年招标投诉 2 起；关联供应商筛查发现 1 家未申报关联关系</t>
        </is>
      </c>
    </row>
    <row r="11">
      <c r="A11" s="19" t="inlineStr">
        <is>
          <t>R004</t>
        </is>
      </c>
      <c r="B11" s="19" t="inlineStr">
        <is>
          <t>供应商准入与围标串标</t>
        </is>
      </c>
      <c r="C11" s="19" t="inlineStr">
        <is>
          <t>采购与外包</t>
        </is>
      </c>
      <c r="D11" s="19" t="inlineStr">
        <is>
          <t>准入把关不严，关联供应商围标串标，采购价格虚高</t>
        </is>
      </c>
      <c r="E11" s="19" t="inlineStr">
        <is>
          <t>采购部</t>
        </is>
      </c>
      <c r="F11" s="19" t="inlineStr">
        <is>
          <t>2026H1</t>
        </is>
      </c>
      <c r="G11" s="6" t="n">
        <v>4</v>
      </c>
      <c r="H11" s="6" t="n">
        <v>4</v>
      </c>
      <c r="I11" s="6" t="n">
        <v>4</v>
      </c>
      <c r="J11" s="6" t="n">
        <v>3</v>
      </c>
      <c r="K11" s="6" t="n">
        <v>3</v>
      </c>
      <c r="L11" s="6" t="n">
        <v>5</v>
      </c>
      <c r="M11" s="20">
        <f>IF($A11="","",ROUND(MAX(SUMPRODUCT(H11:L11,IFERROR(VLOOKUP($C11,参数配置!$A$26:$F$38,{2,3,4,5,6},FALSE),VLOOKUP(参数配置!$A$26,参数配置!$A$26:$F$38,{2,3,4,5,6},FALSE))),参数配置!$E$13*MAX(H11:L11)),2))</f>
        <v/>
      </c>
      <c r="N11" s="20">
        <f>IF($A11="","",ROUND(G11*M11,2))</f>
        <v/>
      </c>
      <c r="O11" s="3">
        <f>IF($A11="","",IF(COUNTIFS(控制措施表!$B:$B,$A11,控制措施表!$C:$C,$F11,控制措施表!$F:$F,"是")=0,IF(COUNTIFS(控制措施表!$B:$B,$A11,控制措施表!$C:$C,$F11)=0,"",MINIFS(控制措施表!$E:$E,控制措施表!$B:$B,$A11,控制措施表!$C:$C,$F11)),MINIFS(控制措施表!$E:$E,控制措施表!$B:$B,$A11,控制措施表!$C:$C,$F11,控制措施表!$F:$F,"是")))</f>
        <v/>
      </c>
      <c r="P11" s="21">
        <f>IF($A11="","",IF(N11="",0,VLOOKUP(N11,参数配置!$D$4:$E$8,2,FALSE)))</f>
        <v/>
      </c>
      <c r="Q11" s="20">
        <f>IF($A11="","",ROUND(O11*(1-P11),2))</f>
        <v/>
      </c>
      <c r="R11" s="3">
        <f>IF($A11="","",IF(Q11&gt;=参数配置!$B$12,"极高",IF(Q11&gt;=参数配置!$B$13,"高",IF(Q11&gt;=参数配置!$B$14,"中",IF(Q11&gt;=参数配置!$B$15,"低","极低")))))</f>
        <v/>
      </c>
      <c r="S11" s="3">
        <f>IF($A11="","",ROUND(M11,0))</f>
        <v/>
      </c>
      <c r="T11" s="3">
        <f>IF($A11="","",ROUND(N11,0))</f>
        <v/>
      </c>
      <c r="U11" s="3">
        <f>IF($A11="","",IF(R11="极高","每年必审",IF(R11="高","每年审计",IF(R11="中","两年一轮","按需抽查"))))</f>
        <v/>
      </c>
      <c r="V11" s="21">
        <f>IF($A11="","",IF(N11=0,"",(N11-Q11)/N11))</f>
        <v/>
      </c>
      <c r="W11" s="19" t="inlineStr">
        <is>
          <t>近两年招标投诉 2 起；关联供应商筛查发现 1 家未申报关联关系</t>
        </is>
      </c>
    </row>
    <row r="12">
      <c r="A12" s="19" t="inlineStr">
        <is>
          <t>R005</t>
        </is>
      </c>
      <c r="B12" s="19" t="inlineStr">
        <is>
          <t>合同法律审查缺位</t>
        </is>
      </c>
      <c r="C12" s="19" t="inlineStr">
        <is>
          <t>合同管理</t>
        </is>
      </c>
      <c r="D12" s="19" t="inlineStr">
        <is>
          <t>合同条款未经法务审查即签署，履约纠纷败诉风险</t>
        </is>
      </c>
      <c r="E12" s="19" t="inlineStr">
        <is>
          <t>采购部</t>
        </is>
      </c>
      <c r="F12" s="19" t="inlineStr">
        <is>
          <t>2025H2</t>
        </is>
      </c>
      <c r="G12" s="6" t="n">
        <v>3</v>
      </c>
      <c r="H12" s="6" t="n">
        <v>4</v>
      </c>
      <c r="I12" s="6" t="n">
        <v>5</v>
      </c>
      <c r="J12" s="6" t="n">
        <v>4</v>
      </c>
      <c r="K12" s="6" t="n">
        <v>4</v>
      </c>
      <c r="L12" s="6" t="n">
        <v>3</v>
      </c>
      <c r="M12" s="20">
        <f>IF($A12="","",ROUND(MAX(SUMPRODUCT(H12:L12,IFERROR(VLOOKUP($C12,参数配置!$A$26:$F$38,{2,3,4,5,6},FALSE),VLOOKUP(参数配置!$A$26,参数配置!$A$26:$F$38,{2,3,4,5,6},FALSE))),参数配置!$E$13*MAX(H12:L12)),2))</f>
        <v/>
      </c>
      <c r="N12" s="20">
        <f>IF($A12="","",ROUND(G12*M12,2))</f>
        <v/>
      </c>
      <c r="O12" s="3">
        <f>IF($A12="","",IF(COUNTIFS(控制措施表!$B:$B,$A12,控制措施表!$C:$C,$F12,控制措施表!$F:$F,"是")=0,IF(COUNTIFS(控制措施表!$B:$B,$A12,控制措施表!$C:$C,$F12)=0,"",MINIFS(控制措施表!$E:$E,控制措施表!$B:$B,$A12,控制措施表!$C:$C,$F12)),MINIFS(控制措施表!$E:$E,控制措施表!$B:$B,$A12,控制措施表!$C:$C,$F12,控制措施表!$F:$F,"是")))</f>
        <v/>
      </c>
      <c r="P12" s="21">
        <f>IF($A12="","",IF(N12="",0,VLOOKUP(N12,参数配置!$D$4:$E$8,2,FALSE)))</f>
        <v/>
      </c>
      <c r="Q12" s="20">
        <f>IF($A12="","",ROUND(O12*(1-P12),2))</f>
        <v/>
      </c>
      <c r="R12" s="3">
        <f>IF($A12="","",IF(Q12&gt;=参数配置!$B$12,"极高",IF(Q12&gt;=参数配置!$B$13,"高",IF(Q12&gt;=参数配置!$B$14,"中",IF(Q12&gt;=参数配置!$B$15,"低","极低")))))</f>
        <v/>
      </c>
      <c r="S12" s="3">
        <f>IF($A12="","",ROUND(M12,0))</f>
        <v/>
      </c>
      <c r="T12" s="3">
        <f>IF($A12="","",ROUND(N12,0))</f>
        <v/>
      </c>
      <c r="U12" s="3">
        <f>IF($A12="","",IF(R12="极高","每年必审",IF(R12="高","每年审计",IF(R12="中","两年一轮","按需抽查"))))</f>
        <v/>
      </c>
      <c r="V12" s="21">
        <f>IF($A12="","",IF(N12=0,"",(N12-Q12)/N12))</f>
        <v/>
      </c>
      <c r="W12" s="19" t="inlineStr">
        <is>
          <t>法律纠纷台账 2 起未决诉讼均涉合同条款缺陷</t>
        </is>
      </c>
    </row>
    <row r="13">
      <c r="A13" s="19" t="inlineStr">
        <is>
          <t>R005</t>
        </is>
      </c>
      <c r="B13" s="19" t="inlineStr">
        <is>
          <t>合同法律审查缺位</t>
        </is>
      </c>
      <c r="C13" s="19" t="inlineStr">
        <is>
          <t>合同管理</t>
        </is>
      </c>
      <c r="D13" s="19" t="inlineStr">
        <is>
          <t>合同条款未经法务审查即签署，履约纠纷败诉风险</t>
        </is>
      </c>
      <c r="E13" s="19" t="inlineStr">
        <is>
          <t>采购部</t>
        </is>
      </c>
      <c r="F13" s="19" t="inlineStr">
        <is>
          <t>2026H1</t>
        </is>
      </c>
      <c r="G13" s="6" t="n">
        <v>3</v>
      </c>
      <c r="H13" s="6" t="n">
        <v>4</v>
      </c>
      <c r="I13" s="6" t="n">
        <v>5</v>
      </c>
      <c r="J13" s="6" t="n">
        <v>4</v>
      </c>
      <c r="K13" s="6" t="n">
        <v>3</v>
      </c>
      <c r="L13" s="6" t="n">
        <v>3</v>
      </c>
      <c r="M13" s="20">
        <f>IF($A13="","",ROUND(MAX(SUMPRODUCT(H13:L13,IFERROR(VLOOKUP($C13,参数配置!$A$26:$F$38,{2,3,4,5,6},FALSE),VLOOKUP(参数配置!$A$26,参数配置!$A$26:$F$38,{2,3,4,5,6},FALSE))),参数配置!$E$13*MAX(H13:L13)),2))</f>
        <v/>
      </c>
      <c r="N13" s="20">
        <f>IF($A13="","",ROUND(G13*M13,2))</f>
        <v/>
      </c>
      <c r="O13" s="3">
        <f>IF($A13="","",IF(COUNTIFS(控制措施表!$B:$B,$A13,控制措施表!$C:$C,$F13,控制措施表!$F:$F,"是")=0,IF(COUNTIFS(控制措施表!$B:$B,$A13,控制措施表!$C:$C,$F13)=0,"",MINIFS(控制措施表!$E:$E,控制措施表!$B:$B,$A13,控制措施表!$C:$C,$F13)),MINIFS(控制措施表!$E:$E,控制措施表!$B:$B,$A13,控制措施表!$C:$C,$F13,控制措施表!$F:$F,"是")))</f>
        <v/>
      </c>
      <c r="P13" s="21">
        <f>IF($A13="","",IF(N13="",0,VLOOKUP(N13,参数配置!$D$4:$E$8,2,FALSE)))</f>
        <v/>
      </c>
      <c r="Q13" s="20">
        <f>IF($A13="","",ROUND(O13*(1-P13),2))</f>
        <v/>
      </c>
      <c r="R13" s="3">
        <f>IF($A13="","",IF(Q13&gt;=参数配置!$B$12,"极高",IF(Q13&gt;=参数配置!$B$13,"高",IF(Q13&gt;=参数配置!$B$14,"中",IF(Q13&gt;=参数配置!$B$15,"低","极低")))))</f>
        <v/>
      </c>
      <c r="S13" s="3">
        <f>IF($A13="","",ROUND(M13,0))</f>
        <v/>
      </c>
      <c r="T13" s="3">
        <f>IF($A13="","",ROUND(N13,0))</f>
        <v/>
      </c>
      <c r="U13" s="3">
        <f>IF($A13="","",IF(R13="极高","每年必审",IF(R13="高","每年审计",IF(R13="中","两年一轮","按需抽查"))))</f>
        <v/>
      </c>
      <c r="V13" s="21">
        <f>IF($A13="","",IF(N13=0,"",(N13-Q13)/N13))</f>
        <v/>
      </c>
      <c r="W13" s="19" t="inlineStr">
        <is>
          <t>法律纠纷台账 2 起未决诉讼均涉合同条款缺陷</t>
        </is>
      </c>
    </row>
    <row r="14">
      <c r="A14" s="19" t="inlineStr">
        <is>
          <t>R006</t>
        </is>
      </c>
      <c r="B14" s="19" t="inlineStr">
        <is>
          <t>到货验收流于形式</t>
        </is>
      </c>
      <c r="C14" s="19" t="inlineStr">
        <is>
          <t>采购与外包</t>
        </is>
      </c>
      <c r="D14" s="19" t="inlineStr">
        <is>
          <t>验收环节走过场，以次充好、数量短缺未被发现的可能</t>
        </is>
      </c>
      <c r="E14" s="19" t="inlineStr">
        <is>
          <t>采购部</t>
        </is>
      </c>
      <c r="F14" s="19" t="inlineStr">
        <is>
          <t>2025H2</t>
        </is>
      </c>
      <c r="G14" s="6" t="n">
        <v>3</v>
      </c>
      <c r="H14" s="6" t="n">
        <v>4</v>
      </c>
      <c r="I14" s="6" t="n">
        <v>3</v>
      </c>
      <c r="J14" s="6" t="n">
        <v>4</v>
      </c>
      <c r="K14" s="6" t="n">
        <v>2</v>
      </c>
      <c r="L14" s="6" t="n">
        <v>4</v>
      </c>
      <c r="M14" s="20">
        <f>IF($A14="","",ROUND(MAX(SUMPRODUCT(H14:L14,IFERROR(VLOOKUP($C14,参数配置!$A$26:$F$38,{2,3,4,5,6},FALSE),VLOOKUP(参数配置!$A$26,参数配置!$A$26:$F$38,{2,3,4,5,6},FALSE))),参数配置!$E$13*MAX(H14:L14)),2))</f>
        <v/>
      </c>
      <c r="N14" s="20">
        <f>IF($A14="","",ROUND(G14*M14,2))</f>
        <v/>
      </c>
      <c r="O14" s="3">
        <f>IF($A14="","",IF(COUNTIFS(控制措施表!$B:$B,$A14,控制措施表!$C:$C,$F14,控制措施表!$F:$F,"是")=0,IF(COUNTIFS(控制措施表!$B:$B,$A14,控制措施表!$C:$C,$F14)=0,"",MINIFS(控制措施表!$E:$E,控制措施表!$B:$B,$A14,控制措施表!$C:$C,$F14)),MINIFS(控制措施表!$E:$E,控制措施表!$B:$B,$A14,控制措施表!$C:$C,$F14,控制措施表!$F:$F,"是")))</f>
        <v/>
      </c>
      <c r="P14" s="21">
        <f>IF($A14="","",IF(N14="",0,VLOOKUP(N14,参数配置!$D$4:$E$8,2,FALSE)))</f>
        <v/>
      </c>
      <c r="Q14" s="20">
        <f>IF($A14="","",ROUND(O14*(1-P14),2))</f>
        <v/>
      </c>
      <c r="R14" s="3">
        <f>IF($A14="","",IF(Q14&gt;=参数配置!$B$12,"极高",IF(Q14&gt;=参数配置!$B$13,"高",IF(Q14&gt;=参数配置!$B$14,"中",IF(Q14&gt;=参数配置!$B$15,"低","极低")))))</f>
        <v/>
      </c>
      <c r="S14" s="3">
        <f>IF($A14="","",ROUND(M14,0))</f>
        <v/>
      </c>
      <c r="T14" s="3">
        <f>IF($A14="","",ROUND(N14,0))</f>
        <v/>
      </c>
      <c r="U14" s="3">
        <f>IF($A14="","",IF(R14="极高","每年必审",IF(R14="高","每年审计",IF(R14="中","两年一轮","按需抽查"))))</f>
        <v/>
      </c>
      <c r="V14" s="21">
        <f>IF($A14="","",IF(N14=0,"",(N14-Q14)/N14))</f>
        <v/>
      </c>
      <c r="W14" s="19" t="inlineStr">
        <is>
          <t>仓库验收单抽查 20% 缺少影像附件</t>
        </is>
      </c>
    </row>
    <row r="15">
      <c r="A15" s="19" t="inlineStr">
        <is>
          <t>R006</t>
        </is>
      </c>
      <c r="B15" s="19" t="inlineStr">
        <is>
          <t>到货验收流于形式</t>
        </is>
      </c>
      <c r="C15" s="19" t="inlineStr">
        <is>
          <t>采购与外包</t>
        </is>
      </c>
      <c r="D15" s="19" t="inlineStr">
        <is>
          <t>验收环节走过场，以次充好、数量短缺未被发现的可能</t>
        </is>
      </c>
      <c r="E15" s="19" t="inlineStr">
        <is>
          <t>采购部</t>
        </is>
      </c>
      <c r="F15" s="19" t="inlineStr">
        <is>
          <t>2026H1</t>
        </is>
      </c>
      <c r="G15" s="6" t="n">
        <v>3</v>
      </c>
      <c r="H15" s="6" t="n">
        <v>4</v>
      </c>
      <c r="I15" s="6" t="n">
        <v>3</v>
      </c>
      <c r="J15" s="6" t="n">
        <v>4</v>
      </c>
      <c r="K15" s="6" t="n">
        <v>2</v>
      </c>
      <c r="L15" s="6" t="n">
        <v>3</v>
      </c>
      <c r="M15" s="20">
        <f>IF($A15="","",ROUND(MAX(SUMPRODUCT(H15:L15,IFERROR(VLOOKUP($C15,参数配置!$A$26:$F$38,{2,3,4,5,6},FALSE),VLOOKUP(参数配置!$A$26,参数配置!$A$26:$F$38,{2,3,4,5,6},FALSE))),参数配置!$E$13*MAX(H15:L15)),2))</f>
        <v/>
      </c>
      <c r="N15" s="20">
        <f>IF($A15="","",ROUND(G15*M15,2))</f>
        <v/>
      </c>
      <c r="O15" s="3">
        <f>IF($A15="","",IF(COUNTIFS(控制措施表!$B:$B,$A15,控制措施表!$C:$C,$F15,控制措施表!$F:$F,"是")=0,IF(COUNTIFS(控制措施表!$B:$B,$A15,控制措施表!$C:$C,$F15)=0,"",MINIFS(控制措施表!$E:$E,控制措施表!$B:$B,$A15,控制措施表!$C:$C,$F15)),MINIFS(控制措施表!$E:$E,控制措施表!$B:$B,$A15,控制措施表!$C:$C,$F15,控制措施表!$F:$F,"是")))</f>
        <v/>
      </c>
      <c r="P15" s="21">
        <f>IF($A15="","",IF(N15="",0,VLOOKUP(N15,参数配置!$D$4:$E$8,2,FALSE)))</f>
        <v/>
      </c>
      <c r="Q15" s="20">
        <f>IF($A15="","",ROUND(O15*(1-P15),2))</f>
        <v/>
      </c>
      <c r="R15" s="3">
        <f>IF($A15="","",IF(Q15&gt;=参数配置!$B$12,"极高",IF(Q15&gt;=参数配置!$B$13,"高",IF(Q15&gt;=参数配置!$B$14,"中",IF(Q15&gt;=参数配置!$B$15,"低","极低")))))</f>
        <v/>
      </c>
      <c r="S15" s="3">
        <f>IF($A15="","",ROUND(M15,0))</f>
        <v/>
      </c>
      <c r="T15" s="3">
        <f>IF($A15="","",ROUND(N15,0))</f>
        <v/>
      </c>
      <c r="U15" s="3">
        <f>IF($A15="","",IF(R15="极高","每年必审",IF(R15="高","每年审计",IF(R15="中","两年一轮","按需抽查"))))</f>
        <v/>
      </c>
      <c r="V15" s="21">
        <f>IF($A15="","",IF(N15=0,"",(N15-Q15)/N15))</f>
        <v/>
      </c>
      <c r="W15" s="19" t="inlineStr">
        <is>
          <t>仓库验收单抽查 20% 缺少影像附件</t>
        </is>
      </c>
    </row>
    <row r="16">
      <c r="A16" s="19" t="inlineStr">
        <is>
          <t>R007</t>
        </is>
      </c>
      <c r="B16" s="19" t="inlineStr">
        <is>
          <t>工程造价失控</t>
        </is>
      </c>
      <c r="C16" s="19" t="inlineStr">
        <is>
          <t>工程项目</t>
        </is>
      </c>
      <c r="D16" s="19" t="inlineStr">
        <is>
          <t>设计变更与现场签证频繁，工程概算超支</t>
        </is>
      </c>
      <c r="E16" s="19" t="inlineStr">
        <is>
          <t>工程部</t>
        </is>
      </c>
      <c r="F16" s="19" t="inlineStr">
        <is>
          <t>2025H2</t>
        </is>
      </c>
      <c r="G16" s="6" t="n">
        <v>4</v>
      </c>
      <c r="H16" s="6" t="n">
        <v>5</v>
      </c>
      <c r="I16" s="6" t="n">
        <v>3</v>
      </c>
      <c r="J16" s="6" t="n">
        <v>4</v>
      </c>
      <c r="K16" s="6" t="n">
        <v>4</v>
      </c>
      <c r="L16" s="6" t="n">
        <v>3</v>
      </c>
      <c r="M16" s="20">
        <f>IF($A16="","",ROUND(MAX(SUMPRODUCT(H16:L16,IFERROR(VLOOKUP($C16,参数配置!$A$26:$F$38,{2,3,4,5,6},FALSE),VLOOKUP(参数配置!$A$26,参数配置!$A$26:$F$38,{2,3,4,5,6},FALSE))),参数配置!$E$13*MAX(H16:L16)),2))</f>
        <v/>
      </c>
      <c r="N16" s="20">
        <f>IF($A16="","",ROUND(G16*M16,2))</f>
        <v/>
      </c>
      <c r="O16" s="3">
        <f>IF($A16="","",IF(COUNTIFS(控制措施表!$B:$B,$A16,控制措施表!$C:$C,$F16,控制措施表!$F:$F,"是")=0,IF(COUNTIFS(控制措施表!$B:$B,$A16,控制措施表!$C:$C,$F16)=0,"",MINIFS(控制措施表!$E:$E,控制措施表!$B:$B,$A16,控制措施表!$C:$C,$F16)),MINIFS(控制措施表!$E:$E,控制措施表!$B:$B,$A16,控制措施表!$C:$C,$F16,控制措施表!$F:$F,"是")))</f>
        <v/>
      </c>
      <c r="P16" s="21">
        <f>IF($A16="","",IF(N16="",0,VLOOKUP(N16,参数配置!$D$4:$E$8,2,FALSE)))</f>
        <v/>
      </c>
      <c r="Q16" s="20">
        <f>IF($A16="","",ROUND(O16*(1-P16),2))</f>
        <v/>
      </c>
      <c r="R16" s="3">
        <f>IF($A16="","",IF(Q16&gt;=参数配置!$B$12,"极高",IF(Q16&gt;=参数配置!$B$13,"高",IF(Q16&gt;=参数配置!$B$14,"中",IF(Q16&gt;=参数配置!$B$15,"低","极低")))))</f>
        <v/>
      </c>
      <c r="S16" s="3">
        <f>IF($A16="","",ROUND(M16,0))</f>
        <v/>
      </c>
      <c r="T16" s="3">
        <f>IF($A16="","",ROUND(N16,0))</f>
        <v/>
      </c>
      <c r="U16" s="3">
        <f>IF($A16="","",IF(R16="极高","每年必审",IF(R16="高","每年审计",IF(R16="中","两年一轮","按需抽查"))))</f>
        <v/>
      </c>
      <c r="V16" s="21">
        <f>IF($A16="","",IF(N16=0,"",(N16-Q16)/N16))</f>
        <v/>
      </c>
      <c r="W16" s="19" t="inlineStr">
        <is>
          <t>在建项目概算执行率 108%，设计变更签证 47 项</t>
        </is>
      </c>
    </row>
    <row r="17">
      <c r="A17" s="19" t="inlineStr">
        <is>
          <t>R007</t>
        </is>
      </c>
      <c r="B17" s="19" t="inlineStr">
        <is>
          <t>工程造价失控</t>
        </is>
      </c>
      <c r="C17" s="19" t="inlineStr">
        <is>
          <t>工程项目</t>
        </is>
      </c>
      <c r="D17" s="19" t="inlineStr">
        <is>
          <t>设计变更与现场签证频繁，工程概算超支</t>
        </is>
      </c>
      <c r="E17" s="19" t="inlineStr">
        <is>
          <t>工程部</t>
        </is>
      </c>
      <c r="F17" s="19" t="inlineStr">
        <is>
          <t>2026H1</t>
        </is>
      </c>
      <c r="G17" s="6" t="n">
        <v>4</v>
      </c>
      <c r="H17" s="6" t="n">
        <v>5</v>
      </c>
      <c r="I17" s="6" t="n">
        <v>3</v>
      </c>
      <c r="J17" s="6" t="n">
        <v>3</v>
      </c>
      <c r="K17" s="6" t="n">
        <v>4</v>
      </c>
      <c r="L17" s="6" t="n">
        <v>3</v>
      </c>
      <c r="M17" s="20">
        <f>IF($A17="","",ROUND(MAX(SUMPRODUCT(H17:L17,IFERROR(VLOOKUP($C17,参数配置!$A$26:$F$38,{2,3,4,5,6},FALSE),VLOOKUP(参数配置!$A$26,参数配置!$A$26:$F$38,{2,3,4,5,6},FALSE))),参数配置!$E$13*MAX(H17:L17)),2))</f>
        <v/>
      </c>
      <c r="N17" s="20">
        <f>IF($A17="","",ROUND(G17*M17,2))</f>
        <v/>
      </c>
      <c r="O17" s="3">
        <f>IF($A17="","",IF(COUNTIFS(控制措施表!$B:$B,$A17,控制措施表!$C:$C,$F17,控制措施表!$F:$F,"是")=0,IF(COUNTIFS(控制措施表!$B:$B,$A17,控制措施表!$C:$C,$F17)=0,"",MINIFS(控制措施表!$E:$E,控制措施表!$B:$B,$A17,控制措施表!$C:$C,$F17)),MINIFS(控制措施表!$E:$E,控制措施表!$B:$B,$A17,控制措施表!$C:$C,$F17,控制措施表!$F:$F,"是")))</f>
        <v/>
      </c>
      <c r="P17" s="21">
        <f>IF($A17="","",IF(N17="",0,VLOOKUP(N17,参数配置!$D$4:$E$8,2,FALSE)))</f>
        <v/>
      </c>
      <c r="Q17" s="20">
        <f>IF($A17="","",ROUND(O17*(1-P17),2))</f>
        <v/>
      </c>
      <c r="R17" s="3">
        <f>IF($A17="","",IF(Q17&gt;=参数配置!$B$12,"极高",IF(Q17&gt;=参数配置!$B$13,"高",IF(Q17&gt;=参数配置!$B$14,"中",IF(Q17&gt;=参数配置!$B$15,"低","极低")))))</f>
        <v/>
      </c>
      <c r="S17" s="3">
        <f>IF($A17="","",ROUND(M17,0))</f>
        <v/>
      </c>
      <c r="T17" s="3">
        <f>IF($A17="","",ROUND(N17,0))</f>
        <v/>
      </c>
      <c r="U17" s="3">
        <f>IF($A17="","",IF(R17="极高","每年必审",IF(R17="高","每年审计",IF(R17="中","两年一轮","按需抽查"))))</f>
        <v/>
      </c>
      <c r="V17" s="21">
        <f>IF($A17="","",IF(N17=0,"",(N17-Q17)/N17))</f>
        <v/>
      </c>
      <c r="W17" s="19" t="inlineStr">
        <is>
          <t>在建项目概算执行率 108%，设计变更签证 47 项</t>
        </is>
      </c>
    </row>
    <row r="18">
      <c r="A18" s="19" t="inlineStr">
        <is>
          <t>R008</t>
        </is>
      </c>
      <c r="B18" s="19" t="inlineStr">
        <is>
          <t>施工安全环保隐患</t>
        </is>
      </c>
      <c r="C18" s="19" t="inlineStr">
        <is>
          <t>安全环保</t>
        </is>
      </c>
      <c r="D18" s="19" t="inlineStr">
        <is>
          <t>高危作业管理不到位，存在安全事故与环保处罚风险</t>
        </is>
      </c>
      <c r="E18" s="19" t="inlineStr">
        <is>
          <t>安监部</t>
        </is>
      </c>
      <c r="F18" s="19" t="inlineStr">
        <is>
          <t>2025H2</t>
        </is>
      </c>
      <c r="G18" s="6" t="n">
        <v>3</v>
      </c>
      <c r="H18" s="6" t="n">
        <v>4</v>
      </c>
      <c r="I18" s="6" t="n">
        <v>5</v>
      </c>
      <c r="J18" s="6" t="n">
        <v>5</v>
      </c>
      <c r="K18" s="6" t="n">
        <v>5</v>
      </c>
      <c r="L18" s="6" t="n">
        <v>1</v>
      </c>
      <c r="M18" s="20">
        <f>IF($A18="","",ROUND(MAX(SUMPRODUCT(H18:L18,IFERROR(VLOOKUP($C18,参数配置!$A$26:$F$38,{2,3,4,5,6},FALSE),VLOOKUP(参数配置!$A$26,参数配置!$A$26:$F$38,{2,3,4,5,6},FALSE))),参数配置!$E$13*MAX(H18:L18)),2))</f>
        <v/>
      </c>
      <c r="N18" s="20">
        <f>IF($A18="","",ROUND(G18*M18,2))</f>
        <v/>
      </c>
      <c r="O18" s="3">
        <f>IF($A18="","",IF(COUNTIFS(控制措施表!$B:$B,$A18,控制措施表!$C:$C,$F18,控制措施表!$F:$F,"是")=0,IF(COUNTIFS(控制措施表!$B:$B,$A18,控制措施表!$C:$C,$F18)=0,"",MINIFS(控制措施表!$E:$E,控制措施表!$B:$B,$A18,控制措施表!$C:$C,$F18)),MINIFS(控制措施表!$E:$E,控制措施表!$B:$B,$A18,控制措施表!$C:$C,$F18,控制措施表!$F:$F,"是")))</f>
        <v/>
      </c>
      <c r="P18" s="21">
        <f>IF($A18="","",IF(N18="",0,VLOOKUP(N18,参数配置!$D$4:$E$8,2,FALSE)))</f>
        <v/>
      </c>
      <c r="Q18" s="20">
        <f>IF($A18="","",ROUND(O18*(1-P18),2))</f>
        <v/>
      </c>
      <c r="R18" s="3">
        <f>IF($A18="","",IF(Q18&gt;=参数配置!$B$12,"极高",IF(Q18&gt;=参数配置!$B$13,"高",IF(Q18&gt;=参数配置!$B$14,"中",IF(Q18&gt;=参数配置!$B$15,"低","极低")))))</f>
        <v/>
      </c>
      <c r="S18" s="3">
        <f>IF($A18="","",ROUND(M18,0))</f>
        <v/>
      </c>
      <c r="T18" s="3">
        <f>IF($A18="","",ROUND(N18,0))</f>
        <v/>
      </c>
      <c r="U18" s="3">
        <f>IF($A18="","",IF(R18="极高","每年必审",IF(R18="高","每年审计",IF(R18="中","两年一轮","按需抽查"))))</f>
        <v/>
      </c>
      <c r="V18" s="21">
        <f>IF($A18="","",IF(N18=0,"",(N18-Q18)/N18))</f>
        <v/>
      </c>
      <c r="W18" s="19" t="inlineStr">
        <is>
          <t>本年度安监通报 1 起未遂事故；特种作业持证率 100%</t>
        </is>
      </c>
    </row>
    <row r="19">
      <c r="A19" s="19" t="inlineStr">
        <is>
          <t>R008</t>
        </is>
      </c>
      <c r="B19" s="19" t="inlineStr">
        <is>
          <t>施工安全环保隐患</t>
        </is>
      </c>
      <c r="C19" s="19" t="inlineStr">
        <is>
          <t>安全环保</t>
        </is>
      </c>
      <c r="D19" s="19" t="inlineStr">
        <is>
          <t>高危作业管理不到位，存在安全事故与环保处罚风险</t>
        </is>
      </c>
      <c r="E19" s="19" t="inlineStr">
        <is>
          <t>安监部</t>
        </is>
      </c>
      <c r="F19" s="19" t="inlineStr">
        <is>
          <t>2026H1</t>
        </is>
      </c>
      <c r="G19" s="6" t="n">
        <v>2</v>
      </c>
      <c r="H19" s="6" t="n">
        <v>4</v>
      </c>
      <c r="I19" s="6" t="n">
        <v>5</v>
      </c>
      <c r="J19" s="6" t="n">
        <v>5</v>
      </c>
      <c r="K19" s="6" t="n">
        <v>5</v>
      </c>
      <c r="L19" s="6" t="n">
        <v>1</v>
      </c>
      <c r="M19" s="20">
        <f>IF($A19="","",ROUND(MAX(SUMPRODUCT(H19:L19,IFERROR(VLOOKUP($C19,参数配置!$A$26:$F$38,{2,3,4,5,6},FALSE),VLOOKUP(参数配置!$A$26,参数配置!$A$26:$F$38,{2,3,4,5,6},FALSE))),参数配置!$E$13*MAX(H19:L19)),2))</f>
        <v/>
      </c>
      <c r="N19" s="20">
        <f>IF($A19="","",ROUND(G19*M19,2))</f>
        <v/>
      </c>
      <c r="O19" s="3">
        <f>IF($A19="","",IF(COUNTIFS(控制措施表!$B:$B,$A19,控制措施表!$C:$C,$F19,控制措施表!$F:$F,"是")=0,IF(COUNTIFS(控制措施表!$B:$B,$A19,控制措施表!$C:$C,$F19)=0,"",MINIFS(控制措施表!$E:$E,控制措施表!$B:$B,$A19,控制措施表!$C:$C,$F19)),MINIFS(控制措施表!$E:$E,控制措施表!$B:$B,$A19,控制措施表!$C:$C,$F19,控制措施表!$F:$F,"是")))</f>
        <v/>
      </c>
      <c r="P19" s="21">
        <f>IF($A19="","",IF(N19="",0,VLOOKUP(N19,参数配置!$D$4:$E$8,2,FALSE)))</f>
        <v/>
      </c>
      <c r="Q19" s="20">
        <f>IF($A19="","",ROUND(O19*(1-P19),2))</f>
        <v/>
      </c>
      <c r="R19" s="3">
        <f>IF($A19="","",IF(Q19&gt;=参数配置!$B$12,"极高",IF(Q19&gt;=参数配置!$B$13,"高",IF(Q19&gt;=参数配置!$B$14,"中",IF(Q19&gt;=参数配置!$B$15,"低","极低")))))</f>
        <v/>
      </c>
      <c r="S19" s="3">
        <f>IF($A19="","",ROUND(M19,0))</f>
        <v/>
      </c>
      <c r="T19" s="3">
        <f>IF($A19="","",ROUND(N19,0))</f>
        <v/>
      </c>
      <c r="U19" s="3">
        <f>IF($A19="","",IF(R19="极高","每年必审",IF(R19="高","每年审计",IF(R19="中","两年一轮","按需抽查"))))</f>
        <v/>
      </c>
      <c r="V19" s="21">
        <f>IF($A19="","",IF(N19=0,"",(N19-Q19)/N19))</f>
        <v/>
      </c>
      <c r="W19" s="19" t="inlineStr">
        <is>
          <t>本年度安监通报 1 起未遂事故；特种作业持证率 100%</t>
        </is>
      </c>
    </row>
    <row r="20">
      <c r="A20" s="19" t="inlineStr">
        <is>
          <t>R009</t>
        </is>
      </c>
      <c r="B20" s="19" t="inlineStr">
        <is>
          <t>竣工结算滞后超付</t>
        </is>
      </c>
      <c r="C20" s="19" t="inlineStr">
        <is>
          <t>工程项目</t>
        </is>
      </c>
      <c r="D20" s="19" t="inlineStr">
        <is>
          <t>竣工结算审计拖期，进度款超付事后追讨困难</t>
        </is>
      </c>
      <c r="E20" s="19" t="inlineStr">
        <is>
          <t>工程部</t>
        </is>
      </c>
      <c r="F20" s="19" t="inlineStr">
        <is>
          <t>2025H2</t>
        </is>
      </c>
      <c r="G20" s="6" t="n">
        <v>3</v>
      </c>
      <c r="H20" s="6" t="n">
        <v>4</v>
      </c>
      <c r="I20" s="6" t="n">
        <v>3</v>
      </c>
      <c r="J20" s="6" t="n">
        <v>3</v>
      </c>
      <c r="K20" s="6" t="n">
        <v>3</v>
      </c>
      <c r="L20" s="6" t="n">
        <v>3</v>
      </c>
      <c r="M20" s="20">
        <f>IF($A20="","",ROUND(MAX(SUMPRODUCT(H20:L20,IFERROR(VLOOKUP($C20,参数配置!$A$26:$F$38,{2,3,4,5,6},FALSE),VLOOKUP(参数配置!$A$26,参数配置!$A$26:$F$38,{2,3,4,5,6},FALSE))),参数配置!$E$13*MAX(H20:L20)),2))</f>
        <v/>
      </c>
      <c r="N20" s="20">
        <f>IF($A20="","",ROUND(G20*M20,2))</f>
        <v/>
      </c>
      <c r="O20" s="3">
        <f>IF($A20="","",IF(COUNTIFS(控制措施表!$B:$B,$A20,控制措施表!$C:$C,$F20,控制措施表!$F:$F,"是")=0,IF(COUNTIFS(控制措施表!$B:$B,$A20,控制措施表!$C:$C,$F20)=0,"",MINIFS(控制措施表!$E:$E,控制措施表!$B:$B,$A20,控制措施表!$C:$C,$F20)),MINIFS(控制措施表!$E:$E,控制措施表!$B:$B,$A20,控制措施表!$C:$C,$F20,控制措施表!$F:$F,"是")))</f>
        <v/>
      </c>
      <c r="P20" s="21">
        <f>IF($A20="","",IF(N20="",0,VLOOKUP(N20,参数配置!$D$4:$E$8,2,FALSE)))</f>
        <v/>
      </c>
      <c r="Q20" s="20">
        <f>IF($A20="","",ROUND(O20*(1-P20),2))</f>
        <v/>
      </c>
      <c r="R20" s="3">
        <f>IF($A20="","",IF(Q20&gt;=参数配置!$B$12,"极高",IF(Q20&gt;=参数配置!$B$13,"高",IF(Q20&gt;=参数配置!$B$14,"中",IF(Q20&gt;=参数配置!$B$15,"低","极低")))))</f>
        <v/>
      </c>
      <c r="S20" s="3">
        <f>IF($A20="","",ROUND(M20,0))</f>
        <v/>
      </c>
      <c r="T20" s="3">
        <f>IF($A20="","",ROUND(N20,0))</f>
        <v/>
      </c>
      <c r="U20" s="3">
        <f>IF($A20="","",IF(R20="极高","每年必审",IF(R20="高","每年审计",IF(R20="中","两年一轮","按需抽查"))))</f>
        <v/>
      </c>
      <c r="V20" s="21">
        <f>IF($A20="","",IF(N20=0,"",(N20-Q20)/N20))</f>
        <v/>
      </c>
      <c r="W20" s="19" t="inlineStr">
        <is>
          <t>两个竣工项目结算超期 6 个月以上，暂估挂账 860 万元</t>
        </is>
      </c>
    </row>
    <row r="21">
      <c r="A21" s="19" t="inlineStr">
        <is>
          <t>R009</t>
        </is>
      </c>
      <c r="B21" s="19" t="inlineStr">
        <is>
          <t>竣工结算滞后超付</t>
        </is>
      </c>
      <c r="C21" s="19" t="inlineStr">
        <is>
          <t>工程项目</t>
        </is>
      </c>
      <c r="D21" s="19" t="inlineStr">
        <is>
          <t>竣工结算审计拖期，进度款超付事后追讨困难</t>
        </is>
      </c>
      <c r="E21" s="19" t="inlineStr">
        <is>
          <t>工程部</t>
        </is>
      </c>
      <c r="F21" s="19" t="inlineStr">
        <is>
          <t>2026H1</t>
        </is>
      </c>
      <c r="G21" s="6" t="n">
        <v>3</v>
      </c>
      <c r="H21" s="6" t="n">
        <v>4</v>
      </c>
      <c r="I21" s="6" t="n">
        <v>3</v>
      </c>
      <c r="J21" s="6" t="n">
        <v>3</v>
      </c>
      <c r="K21" s="6" t="n">
        <v>2</v>
      </c>
      <c r="L21" s="6" t="n">
        <v>3</v>
      </c>
      <c r="M21" s="20">
        <f>IF($A21="","",ROUND(MAX(SUMPRODUCT(H21:L21,IFERROR(VLOOKUP($C21,参数配置!$A$26:$F$38,{2,3,4,5,6},FALSE),VLOOKUP(参数配置!$A$26,参数配置!$A$26:$F$38,{2,3,4,5,6},FALSE))),参数配置!$E$13*MAX(H21:L21)),2))</f>
        <v/>
      </c>
      <c r="N21" s="20">
        <f>IF($A21="","",ROUND(G21*M21,2))</f>
        <v/>
      </c>
      <c r="O21" s="3">
        <f>IF($A21="","",IF(COUNTIFS(控制措施表!$B:$B,$A21,控制措施表!$C:$C,$F21,控制措施表!$F:$F,"是")=0,IF(COUNTIFS(控制措施表!$B:$B,$A21,控制措施表!$C:$C,$F21)=0,"",MINIFS(控制措施表!$E:$E,控制措施表!$B:$B,$A21,控制措施表!$C:$C,$F21)),MINIFS(控制措施表!$E:$E,控制措施表!$B:$B,$A21,控制措施表!$C:$C,$F21,控制措施表!$F:$F,"是")))</f>
        <v/>
      </c>
      <c r="P21" s="21">
        <f>IF($A21="","",IF(N21="",0,VLOOKUP(N21,参数配置!$D$4:$E$8,2,FALSE)))</f>
        <v/>
      </c>
      <c r="Q21" s="20">
        <f>IF($A21="","",ROUND(O21*(1-P21),2))</f>
        <v/>
      </c>
      <c r="R21" s="3">
        <f>IF($A21="","",IF(Q21&gt;=参数配置!$B$12,"极高",IF(Q21&gt;=参数配置!$B$13,"高",IF(Q21&gt;=参数配置!$B$14,"中",IF(Q21&gt;=参数配置!$B$15,"低","极低")))))</f>
        <v/>
      </c>
      <c r="S21" s="3">
        <f>IF($A21="","",ROUND(M21,0))</f>
        <v/>
      </c>
      <c r="T21" s="3">
        <f>IF($A21="","",ROUND(N21,0))</f>
        <v/>
      </c>
      <c r="U21" s="3">
        <f>IF($A21="","",IF(R21="极高","每年必审",IF(R21="高","每年审计",IF(R21="中","两年一轮","按需抽查"))))</f>
        <v/>
      </c>
      <c r="V21" s="21">
        <f>IF($A21="","",IF(N21=0,"",(N21-Q21)/N21))</f>
        <v/>
      </c>
      <c r="W21" s="19" t="inlineStr">
        <is>
          <t>两个竣工项目结算超期 6 个月以上，暂估挂账 860 万元</t>
        </is>
      </c>
    </row>
    <row r="22">
      <c r="A22" s="19" t="inlineStr">
        <is>
          <t>R010</t>
        </is>
      </c>
      <c r="B22" s="19" t="inlineStr">
        <is>
          <t>核心系统权限失控</t>
        </is>
      </c>
      <c r="C22" s="19" t="inlineStr">
        <is>
          <t>信息系统</t>
        </is>
      </c>
      <c r="D22" s="19" t="inlineStr">
        <is>
          <t>账号权限职责分离失效，关键业务数据可被篡改</t>
        </is>
      </c>
      <c r="E22" s="19" t="inlineStr">
        <is>
          <t>信息中心</t>
        </is>
      </c>
      <c r="F22" s="19" t="inlineStr">
        <is>
          <t>2025H2</t>
        </is>
      </c>
      <c r="G22" s="6" t="n">
        <v>4</v>
      </c>
      <c r="H22" s="6" t="n">
        <v>4</v>
      </c>
      <c r="I22" s="6" t="n">
        <v>5</v>
      </c>
      <c r="J22" s="6" t="n">
        <v>5</v>
      </c>
      <c r="K22" s="6" t="n">
        <v>4</v>
      </c>
      <c r="L22" s="6" t="n">
        <v>4</v>
      </c>
      <c r="M22" s="20">
        <f>IF($A22="","",ROUND(MAX(SUMPRODUCT(H22:L22,IFERROR(VLOOKUP($C22,参数配置!$A$26:$F$38,{2,3,4,5,6},FALSE),VLOOKUP(参数配置!$A$26,参数配置!$A$26:$F$38,{2,3,4,5,6},FALSE))),参数配置!$E$13*MAX(H22:L22)),2))</f>
        <v/>
      </c>
      <c r="N22" s="20">
        <f>IF($A22="","",ROUND(G22*M22,2))</f>
        <v/>
      </c>
      <c r="O22" s="3">
        <f>IF($A22="","",IF(COUNTIFS(控制措施表!$B:$B,$A22,控制措施表!$C:$C,$F22,控制措施表!$F:$F,"是")=0,IF(COUNTIFS(控制措施表!$B:$B,$A22,控制措施表!$C:$C,$F22)=0,"",MINIFS(控制措施表!$E:$E,控制措施表!$B:$B,$A22,控制措施表!$C:$C,$F22)),MINIFS(控制措施表!$E:$E,控制措施表!$B:$B,$A22,控制措施表!$C:$C,$F22,控制措施表!$F:$F,"是")))</f>
        <v/>
      </c>
      <c r="P22" s="21">
        <f>IF($A22="","",IF(N22="",0,VLOOKUP(N22,参数配置!$D$4:$E$8,2,FALSE)))</f>
        <v/>
      </c>
      <c r="Q22" s="20">
        <f>IF($A22="","",ROUND(O22*(1-P22),2))</f>
        <v/>
      </c>
      <c r="R22" s="3">
        <f>IF($A22="","",IF(Q22&gt;=参数配置!$B$12,"极高",IF(Q22&gt;=参数配置!$B$13,"高",IF(Q22&gt;=参数配置!$B$14,"中",IF(Q22&gt;=参数配置!$B$15,"低","极低")))))</f>
        <v/>
      </c>
      <c r="S22" s="3">
        <f>IF($A22="","",ROUND(M22,0))</f>
        <v/>
      </c>
      <c r="T22" s="3">
        <f>IF($A22="","",ROUND(N22,0))</f>
        <v/>
      </c>
      <c r="U22" s="3">
        <f>IF($A22="","",IF(R22="极高","每年必审",IF(R22="高","每年审计",IF(R22="中","两年一轮","按需抽查"))))</f>
        <v/>
      </c>
      <c r="V22" s="21">
        <f>IF($A22="","",IF(N22=0,"",(N22-Q22)/N22))</f>
        <v/>
      </c>
      <c r="W22" s="19" t="inlineStr">
        <is>
          <t>权限复核发现 3 个离职未销账号；日志审计已覆盖核心系统</t>
        </is>
      </c>
    </row>
    <row r="23">
      <c r="A23" s="19" t="inlineStr">
        <is>
          <t>R010</t>
        </is>
      </c>
      <c r="B23" s="19" t="inlineStr">
        <is>
          <t>核心系统权限失控</t>
        </is>
      </c>
      <c r="C23" s="19" t="inlineStr">
        <is>
          <t>信息系统</t>
        </is>
      </c>
      <c r="D23" s="19" t="inlineStr">
        <is>
          <t>账号权限职责分离失效，关键业务数据可被篡改</t>
        </is>
      </c>
      <c r="E23" s="19" t="inlineStr">
        <is>
          <t>信息中心</t>
        </is>
      </c>
      <c r="F23" s="19" t="inlineStr">
        <is>
          <t>2026H1</t>
        </is>
      </c>
      <c r="G23" s="6" t="n">
        <v>3</v>
      </c>
      <c r="H23" s="6" t="n">
        <v>4</v>
      </c>
      <c r="I23" s="6" t="n">
        <v>5</v>
      </c>
      <c r="J23" s="6" t="n">
        <v>5</v>
      </c>
      <c r="K23" s="6" t="n">
        <v>4</v>
      </c>
      <c r="L23" s="6" t="n">
        <v>4</v>
      </c>
      <c r="M23" s="20">
        <f>IF($A23="","",ROUND(MAX(SUMPRODUCT(H23:L23,IFERROR(VLOOKUP($C23,参数配置!$A$26:$F$38,{2,3,4,5,6},FALSE),VLOOKUP(参数配置!$A$26,参数配置!$A$26:$F$38,{2,3,4,5,6},FALSE))),参数配置!$E$13*MAX(H23:L23)),2))</f>
        <v/>
      </c>
      <c r="N23" s="20">
        <f>IF($A23="","",ROUND(G23*M23,2))</f>
        <v/>
      </c>
      <c r="O23" s="3">
        <f>IF($A23="","",IF(COUNTIFS(控制措施表!$B:$B,$A23,控制措施表!$C:$C,$F23,控制措施表!$F:$F,"是")=0,IF(COUNTIFS(控制措施表!$B:$B,$A23,控制措施表!$C:$C,$F23)=0,"",MINIFS(控制措施表!$E:$E,控制措施表!$B:$B,$A23,控制措施表!$C:$C,$F23)),MINIFS(控制措施表!$E:$E,控制措施表!$B:$B,$A23,控制措施表!$C:$C,$F23,控制措施表!$F:$F,"是")))</f>
        <v/>
      </c>
      <c r="P23" s="21">
        <f>IF($A23="","",IF(N23="",0,VLOOKUP(N23,参数配置!$D$4:$E$8,2,FALSE)))</f>
        <v/>
      </c>
      <c r="Q23" s="20">
        <f>IF($A23="","",ROUND(O23*(1-P23),2))</f>
        <v/>
      </c>
      <c r="R23" s="3">
        <f>IF($A23="","",IF(Q23&gt;=参数配置!$B$12,"极高",IF(Q23&gt;=参数配置!$B$13,"高",IF(Q23&gt;=参数配置!$B$14,"中",IF(Q23&gt;=参数配置!$B$15,"低","极低")))))</f>
        <v/>
      </c>
      <c r="S23" s="3">
        <f>IF($A23="","",ROUND(M23,0))</f>
        <v/>
      </c>
      <c r="T23" s="3">
        <f>IF($A23="","",ROUND(N23,0))</f>
        <v/>
      </c>
      <c r="U23" s="3">
        <f>IF($A23="","",IF(R23="极高","每年必审",IF(R23="高","每年审计",IF(R23="中","两年一轮","按需抽查"))))</f>
        <v/>
      </c>
      <c r="V23" s="21">
        <f>IF($A23="","",IF(N23=0,"",(N23-Q23)/N23))</f>
        <v/>
      </c>
      <c r="W23" s="19" t="inlineStr">
        <is>
          <t>权限复核发现 3 个离职未销账号；日志审计已覆盖核心系统</t>
        </is>
      </c>
    </row>
    <row r="24">
      <c r="A24" s="19" t="inlineStr">
        <is>
          <t>R011</t>
        </is>
      </c>
      <c r="B24" s="19" t="inlineStr">
        <is>
          <t>备份容灾能力不足</t>
        </is>
      </c>
      <c r="C24" s="19" t="inlineStr">
        <is>
          <t>信息系统</t>
        </is>
      </c>
      <c r="D24" s="19" t="inlineStr">
        <is>
          <t>核心系统缺乏有效容灾，故障将导致业务长时间中断</t>
        </is>
      </c>
      <c r="E24" s="19" t="inlineStr">
        <is>
          <t>信息中心</t>
        </is>
      </c>
      <c r="F24" s="19" t="inlineStr">
        <is>
          <t>2025H2</t>
        </is>
      </c>
      <c r="G24" s="6" t="n">
        <v>3</v>
      </c>
      <c r="H24" s="6" t="n">
        <v>4</v>
      </c>
      <c r="I24" s="6" t="n">
        <v>3</v>
      </c>
      <c r="J24" s="6" t="n">
        <v>5</v>
      </c>
      <c r="K24" s="6" t="n">
        <v>4</v>
      </c>
      <c r="L24" s="6" t="n">
        <v>1</v>
      </c>
      <c r="M24" s="20">
        <f>IF($A24="","",ROUND(MAX(SUMPRODUCT(H24:L24,IFERROR(VLOOKUP($C24,参数配置!$A$26:$F$38,{2,3,4,5,6},FALSE),VLOOKUP(参数配置!$A$26,参数配置!$A$26:$F$38,{2,3,4,5,6},FALSE))),参数配置!$E$13*MAX(H24:L24)),2))</f>
        <v/>
      </c>
      <c r="N24" s="20">
        <f>IF($A24="","",ROUND(G24*M24,2))</f>
        <v/>
      </c>
      <c r="O24" s="3">
        <f>IF($A24="","",IF(COUNTIFS(控制措施表!$B:$B,$A24,控制措施表!$C:$C,$F24,控制措施表!$F:$F,"是")=0,IF(COUNTIFS(控制措施表!$B:$B,$A24,控制措施表!$C:$C,$F24)=0,"",MINIFS(控制措施表!$E:$E,控制措施表!$B:$B,$A24,控制措施表!$C:$C,$F24)),MINIFS(控制措施表!$E:$E,控制措施表!$B:$B,$A24,控制措施表!$C:$C,$F24,控制措施表!$F:$F,"是")))</f>
        <v/>
      </c>
      <c r="P24" s="21">
        <f>IF($A24="","",IF(N24="",0,VLOOKUP(N24,参数配置!$D$4:$E$8,2,FALSE)))</f>
        <v/>
      </c>
      <c r="Q24" s="20">
        <f>IF($A24="","",ROUND(O24*(1-P24),2))</f>
        <v/>
      </c>
      <c r="R24" s="3">
        <f>IF($A24="","",IF(Q24&gt;=参数配置!$B$12,"极高",IF(Q24&gt;=参数配置!$B$13,"高",IF(Q24&gt;=参数配置!$B$14,"中",IF(Q24&gt;=参数配置!$B$15,"低","极低")))))</f>
        <v/>
      </c>
      <c r="S24" s="3">
        <f>IF($A24="","",ROUND(M24,0))</f>
        <v/>
      </c>
      <c r="T24" s="3">
        <f>IF($A24="","",ROUND(N24,0))</f>
        <v/>
      </c>
      <c r="U24" s="3">
        <f>IF($A24="","",IF(R24="极高","每年必审",IF(R24="高","每年审计",IF(R24="中","两年一轮","按需抽查"))))</f>
        <v/>
      </c>
      <c r="V24" s="21">
        <f>IF($A24="","",IF(N24=0,"",(N24-Q24)/N24))</f>
        <v/>
      </c>
      <c r="W24" s="19" t="inlineStr">
        <is>
          <t>灾备演练 RTO 达标；双活改造完成验收</t>
        </is>
      </c>
    </row>
    <row r="25">
      <c r="A25" s="19" t="inlineStr">
        <is>
          <t>R011</t>
        </is>
      </c>
      <c r="B25" s="19" t="inlineStr">
        <is>
          <t>备份容灾能力不足</t>
        </is>
      </c>
      <c r="C25" s="19" t="inlineStr">
        <is>
          <t>信息系统</t>
        </is>
      </c>
      <c r="D25" s="19" t="inlineStr">
        <is>
          <t>核心系统缺乏有效容灾，故障将导致业务长时间中断</t>
        </is>
      </c>
      <c r="E25" s="19" t="inlineStr">
        <is>
          <t>信息中心</t>
        </is>
      </c>
      <c r="F25" s="19" t="inlineStr">
        <is>
          <t>2026H1</t>
        </is>
      </c>
      <c r="G25" s="6" t="n">
        <v>2</v>
      </c>
      <c r="H25" s="6" t="n">
        <v>4</v>
      </c>
      <c r="I25" s="6" t="n">
        <v>3</v>
      </c>
      <c r="J25" s="6" t="n">
        <v>5</v>
      </c>
      <c r="K25" s="6" t="n">
        <v>4</v>
      </c>
      <c r="L25" s="6" t="n">
        <v>1</v>
      </c>
      <c r="M25" s="20">
        <f>IF($A25="","",ROUND(MAX(SUMPRODUCT(H25:L25,IFERROR(VLOOKUP($C25,参数配置!$A$26:$F$38,{2,3,4,5,6},FALSE),VLOOKUP(参数配置!$A$26,参数配置!$A$26:$F$38,{2,3,4,5,6},FALSE))),参数配置!$E$13*MAX(H25:L25)),2))</f>
        <v/>
      </c>
      <c r="N25" s="20">
        <f>IF($A25="","",ROUND(G25*M25,2))</f>
        <v/>
      </c>
      <c r="O25" s="3">
        <f>IF($A25="","",IF(COUNTIFS(控制措施表!$B:$B,$A25,控制措施表!$C:$C,$F25,控制措施表!$F:$F,"是")=0,IF(COUNTIFS(控制措施表!$B:$B,$A25,控制措施表!$C:$C,$F25)=0,"",MINIFS(控制措施表!$E:$E,控制措施表!$B:$B,$A25,控制措施表!$C:$C,$F25)),MINIFS(控制措施表!$E:$E,控制措施表!$B:$B,$A25,控制措施表!$C:$C,$F25,控制措施表!$F:$F,"是")))</f>
        <v/>
      </c>
      <c r="P25" s="21">
        <f>IF($A25="","",IF(N25="",0,VLOOKUP(N25,参数配置!$D$4:$E$8,2,FALSE)))</f>
        <v/>
      </c>
      <c r="Q25" s="20">
        <f>IF($A25="","",ROUND(O25*(1-P25),2))</f>
        <v/>
      </c>
      <c r="R25" s="3">
        <f>IF($A25="","",IF(Q25&gt;=参数配置!$B$12,"极高",IF(Q25&gt;=参数配置!$B$13,"高",IF(Q25&gt;=参数配置!$B$14,"中",IF(Q25&gt;=参数配置!$B$15,"低","极低")))))</f>
        <v/>
      </c>
      <c r="S25" s="3">
        <f>IF($A25="","",ROUND(M25,0))</f>
        <v/>
      </c>
      <c r="T25" s="3">
        <f>IF($A25="","",ROUND(N25,0))</f>
        <v/>
      </c>
      <c r="U25" s="3">
        <f>IF($A25="","",IF(R25="极高","每年必审",IF(R25="高","每年审计",IF(R25="中","两年一轮","按需抽查"))))</f>
        <v/>
      </c>
      <c r="V25" s="21">
        <f>IF($A25="","",IF(N25=0,"",(N25-Q25)/N25))</f>
        <v/>
      </c>
      <c r="W25" s="19" t="inlineStr">
        <is>
          <t>灾备演练 RTO 达标；双活改造完成验收</t>
        </is>
      </c>
    </row>
    <row r="26">
      <c r="A26" s="19" t="inlineStr">
        <is>
          <t>R012</t>
        </is>
      </c>
      <c r="B26" s="19" t="inlineStr">
        <is>
          <t>网络攻击暴露面大</t>
        </is>
      </c>
      <c r="C26" s="19" t="inlineStr">
        <is>
          <t>信息系统</t>
        </is>
      </c>
      <c r="D26" s="19" t="inlineStr">
        <is>
          <t>互联网暴露资产多，面临勒索病毒入侵与数据泄露风险</t>
        </is>
      </c>
      <c r="E26" s="19" t="inlineStr">
        <is>
          <t>信息中心</t>
        </is>
      </c>
      <c r="F26" s="19" t="inlineStr">
        <is>
          <t>2025H2</t>
        </is>
      </c>
      <c r="G26" s="6" t="n">
        <v>4</v>
      </c>
      <c r="H26" s="6" t="n">
        <v>4</v>
      </c>
      <c r="I26" s="6" t="n">
        <v>5</v>
      </c>
      <c r="J26" s="6" t="n">
        <v>5</v>
      </c>
      <c r="K26" s="6" t="n">
        <v>5</v>
      </c>
      <c r="L26" s="6" t="n">
        <v>2</v>
      </c>
      <c r="M26" s="20">
        <f>IF($A26="","",ROUND(MAX(SUMPRODUCT(H26:L26,IFERROR(VLOOKUP($C26,参数配置!$A$26:$F$38,{2,3,4,5,6},FALSE),VLOOKUP(参数配置!$A$26,参数配置!$A$26:$F$38,{2,3,4,5,6},FALSE))),参数配置!$E$13*MAX(H26:L26)),2))</f>
        <v/>
      </c>
      <c r="N26" s="20">
        <f>IF($A26="","",ROUND(G26*M26,2))</f>
        <v/>
      </c>
      <c r="O26" s="3">
        <f>IF($A26="","",IF(COUNTIFS(控制措施表!$B:$B,$A26,控制措施表!$C:$C,$F26,控制措施表!$F:$F,"是")=0,IF(COUNTIFS(控制措施表!$B:$B,$A26,控制措施表!$C:$C,$F26)=0,"",MINIFS(控制措施表!$E:$E,控制措施表!$B:$B,$A26,控制措施表!$C:$C,$F26)),MINIFS(控制措施表!$E:$E,控制措施表!$B:$B,$A26,控制措施表!$C:$C,$F26,控制措施表!$F:$F,"是")))</f>
        <v/>
      </c>
      <c r="P26" s="21">
        <f>IF($A26="","",IF(N26="",0,VLOOKUP(N26,参数配置!$D$4:$E$8,2,FALSE)))</f>
        <v/>
      </c>
      <c r="Q26" s="20">
        <f>IF($A26="","",ROUND(O26*(1-P26),2))</f>
        <v/>
      </c>
      <c r="R26" s="3">
        <f>IF($A26="","",IF(Q26&gt;=参数配置!$B$12,"极高",IF(Q26&gt;=参数配置!$B$13,"高",IF(Q26&gt;=参数配置!$B$14,"中",IF(Q26&gt;=参数配置!$B$15,"低","极低")))))</f>
        <v/>
      </c>
      <c r="S26" s="3">
        <f>IF($A26="","",ROUND(M26,0))</f>
        <v/>
      </c>
      <c r="T26" s="3">
        <f>IF($A26="","",ROUND(N26,0))</f>
        <v/>
      </c>
      <c r="U26" s="3">
        <f>IF($A26="","",IF(R26="极高","每年必审",IF(R26="高","每年审计",IF(R26="中","两年一轮","按需抽查"))))</f>
        <v/>
      </c>
      <c r="V26" s="21">
        <f>IF($A26="","",IF(N26=0,"",(N26-Q26)/N26))</f>
        <v/>
      </c>
      <c r="W26" s="19" t="inlineStr">
        <is>
          <t>行业勒索事件高发；EDR 终端覆盖率因预算削减降至 60%</t>
        </is>
      </c>
    </row>
    <row r="27">
      <c r="A27" s="19" t="inlineStr">
        <is>
          <t>R012</t>
        </is>
      </c>
      <c r="B27" s="19" t="inlineStr">
        <is>
          <t>网络攻击暴露面大</t>
        </is>
      </c>
      <c r="C27" s="19" t="inlineStr">
        <is>
          <t>信息系统</t>
        </is>
      </c>
      <c r="D27" s="19" t="inlineStr">
        <is>
          <t>互联网暴露资产多，面临勒索病毒入侵与数据泄露风险</t>
        </is>
      </c>
      <c r="E27" s="19" t="inlineStr">
        <is>
          <t>信息中心</t>
        </is>
      </c>
      <c r="F27" s="19" t="inlineStr">
        <is>
          <t>2026H1</t>
        </is>
      </c>
      <c r="G27" s="6" t="n">
        <v>5</v>
      </c>
      <c r="H27" s="6" t="n">
        <v>4</v>
      </c>
      <c r="I27" s="6" t="n">
        <v>5</v>
      </c>
      <c r="J27" s="6" t="n">
        <v>5</v>
      </c>
      <c r="K27" s="6" t="n">
        <v>5</v>
      </c>
      <c r="L27" s="6" t="n">
        <v>2</v>
      </c>
      <c r="M27" s="20">
        <f>IF($A27="","",ROUND(MAX(SUMPRODUCT(H27:L27,IFERROR(VLOOKUP($C27,参数配置!$A$26:$F$38,{2,3,4,5,6},FALSE),VLOOKUP(参数配置!$A$26,参数配置!$A$26:$F$38,{2,3,4,5,6},FALSE))),参数配置!$E$13*MAX(H27:L27)),2))</f>
        <v/>
      </c>
      <c r="N27" s="20">
        <f>IF($A27="","",ROUND(G27*M27,2))</f>
        <v/>
      </c>
      <c r="O27" s="3">
        <f>IF($A27="","",IF(COUNTIFS(控制措施表!$B:$B,$A27,控制措施表!$C:$C,$F27,控制措施表!$F:$F,"是")=0,IF(COUNTIFS(控制措施表!$B:$B,$A27,控制措施表!$C:$C,$F27)=0,"",MINIFS(控制措施表!$E:$E,控制措施表!$B:$B,$A27,控制措施表!$C:$C,$F27)),MINIFS(控制措施表!$E:$E,控制措施表!$B:$B,$A27,控制措施表!$C:$C,$F27,控制措施表!$F:$F,"是")))</f>
        <v/>
      </c>
      <c r="P27" s="21">
        <f>IF($A27="","",IF(N27="",0,VLOOKUP(N27,参数配置!$D$4:$E$8,2,FALSE)))</f>
        <v/>
      </c>
      <c r="Q27" s="20">
        <f>IF($A27="","",ROUND(O27*(1-P27),2))</f>
        <v/>
      </c>
      <c r="R27" s="3">
        <f>IF($A27="","",IF(Q27&gt;=参数配置!$B$12,"极高",IF(Q27&gt;=参数配置!$B$13,"高",IF(Q27&gt;=参数配置!$B$14,"中",IF(Q27&gt;=参数配置!$B$15,"低","极低")))))</f>
        <v/>
      </c>
      <c r="S27" s="3">
        <f>IF($A27="","",ROUND(M27,0))</f>
        <v/>
      </c>
      <c r="T27" s="3">
        <f>IF($A27="","",ROUND(N27,0))</f>
        <v/>
      </c>
      <c r="U27" s="3">
        <f>IF($A27="","",IF(R27="极高","每年必审",IF(R27="高","每年审计",IF(R27="中","两年一轮","按需抽查"))))</f>
        <v/>
      </c>
      <c r="V27" s="21">
        <f>IF($A27="","",IF(N27=0,"",(N27-Q27)/N27))</f>
        <v/>
      </c>
      <c r="W27" s="19" t="inlineStr">
        <is>
          <t>行业勒索事件高发；EDR 终端覆盖率因预算削减降至 60%</t>
        </is>
      </c>
    </row>
    <row r="28">
      <c r="A28" s="19" t="inlineStr">
        <is>
          <t>R013</t>
        </is>
      </c>
      <c r="B28" s="19" t="inlineStr">
        <is>
          <t>关键岗位人才流失</t>
        </is>
      </c>
      <c r="C28" s="19" t="inlineStr">
        <is>
          <t>人力资源</t>
        </is>
      </c>
      <c r="D28" s="19" t="inlineStr">
        <is>
          <t>财务、信息等关键岗位骨干流失，出现断档</t>
        </is>
      </c>
      <c r="E28" s="19" t="inlineStr">
        <is>
          <t>人力资源部</t>
        </is>
      </c>
      <c r="F28" s="19" t="inlineStr">
        <is>
          <t>2025H2</t>
        </is>
      </c>
      <c r="G28" s="6" t="n">
        <v>4</v>
      </c>
      <c r="H28" s="6" t="n">
        <v>3</v>
      </c>
      <c r="I28" s="6" t="n">
        <v>2</v>
      </c>
      <c r="J28" s="6" t="n">
        <v>4</v>
      </c>
      <c r="K28" s="6" t="n">
        <v>3</v>
      </c>
      <c r="L28" s="6" t="n">
        <v>1</v>
      </c>
      <c r="M28" s="20">
        <f>IF($A28="","",ROUND(MAX(SUMPRODUCT(H28:L28,IFERROR(VLOOKUP($C28,参数配置!$A$26:$F$38,{2,3,4,5,6},FALSE),VLOOKUP(参数配置!$A$26,参数配置!$A$26:$F$38,{2,3,4,5,6},FALSE))),参数配置!$E$13*MAX(H28:L28)),2))</f>
        <v/>
      </c>
      <c r="N28" s="20">
        <f>IF($A28="","",ROUND(G28*M28,2))</f>
        <v/>
      </c>
      <c r="O28" s="3">
        <f>IF($A28="","",IF(COUNTIFS(控制措施表!$B:$B,$A28,控制措施表!$C:$C,$F28,控制措施表!$F:$F,"是")=0,IF(COUNTIFS(控制措施表!$B:$B,$A28,控制措施表!$C:$C,$F28)=0,"",MINIFS(控制措施表!$E:$E,控制措施表!$B:$B,$A28,控制措施表!$C:$C,$F28)),MINIFS(控制措施表!$E:$E,控制措施表!$B:$B,$A28,控制措施表!$C:$C,$F28,控制措施表!$F:$F,"是")))</f>
        <v/>
      </c>
      <c r="P28" s="21">
        <f>IF($A28="","",IF(N28="",0,VLOOKUP(N28,参数配置!$D$4:$E$8,2,FALSE)))</f>
        <v/>
      </c>
      <c r="Q28" s="20">
        <f>IF($A28="","",ROUND(O28*(1-P28),2))</f>
        <v/>
      </c>
      <c r="R28" s="3">
        <f>IF($A28="","",IF(Q28&gt;=参数配置!$B$12,"极高",IF(Q28&gt;=参数配置!$B$13,"高",IF(Q28&gt;=参数配置!$B$14,"中",IF(Q28&gt;=参数配置!$B$15,"低","极低")))))</f>
        <v/>
      </c>
      <c r="S28" s="3">
        <f>IF($A28="","",ROUND(M28,0))</f>
        <v/>
      </c>
      <c r="T28" s="3">
        <f>IF($A28="","",ROUND(N28,0))</f>
        <v/>
      </c>
      <c r="U28" s="3">
        <f>IF($A28="","",IF(R28="极高","每年必审",IF(R28="高","每年审计",IF(R28="中","两年一轮","按需抽查"))))</f>
        <v/>
      </c>
      <c r="V28" s="21">
        <f>IF($A28="","",IF(N28=0,"",(N28-Q28)/N28))</f>
        <v/>
      </c>
      <c r="W28" s="19" t="inlineStr">
        <is>
          <t>财务、信息骨干离职率同比上升；AB 角覆盖不到位</t>
        </is>
      </c>
    </row>
    <row r="29">
      <c r="A29" s="19" t="inlineStr">
        <is>
          <t>R013</t>
        </is>
      </c>
      <c r="B29" s="19" t="inlineStr">
        <is>
          <t>关键岗位人才流失</t>
        </is>
      </c>
      <c r="C29" s="19" t="inlineStr">
        <is>
          <t>人力资源</t>
        </is>
      </c>
      <c r="D29" s="19" t="inlineStr">
        <is>
          <t>财务、信息等关键岗位骨干流失，出现断档</t>
        </is>
      </c>
      <c r="E29" s="19" t="inlineStr">
        <is>
          <t>人力资源部</t>
        </is>
      </c>
      <c r="F29" s="19" t="inlineStr">
        <is>
          <t>2026H1</t>
        </is>
      </c>
      <c r="G29" s="6" t="n">
        <v>4</v>
      </c>
      <c r="H29" s="6" t="n">
        <v>3</v>
      </c>
      <c r="I29" s="6" t="n">
        <v>2</v>
      </c>
      <c r="J29" s="6" t="n">
        <v>4</v>
      </c>
      <c r="K29" s="6" t="n">
        <v>3</v>
      </c>
      <c r="L29" s="6" t="n">
        <v>1</v>
      </c>
      <c r="M29" s="20">
        <f>IF($A29="","",ROUND(MAX(SUMPRODUCT(H29:L29,IFERROR(VLOOKUP($C29,参数配置!$A$26:$F$38,{2,3,4,5,6},FALSE),VLOOKUP(参数配置!$A$26,参数配置!$A$26:$F$38,{2,3,4,5,6},FALSE))),参数配置!$E$13*MAX(H29:L29)),2))</f>
        <v/>
      </c>
      <c r="N29" s="20">
        <f>IF($A29="","",ROUND(G29*M29,2))</f>
        <v/>
      </c>
      <c r="O29" s="3">
        <f>IF($A29="","",IF(COUNTIFS(控制措施表!$B:$B,$A29,控制措施表!$C:$C,$F29,控制措施表!$F:$F,"是")=0,IF(COUNTIFS(控制措施表!$B:$B,$A29,控制措施表!$C:$C,$F29)=0,"",MINIFS(控制措施表!$E:$E,控制措施表!$B:$B,$A29,控制措施表!$C:$C,$F29)),MINIFS(控制措施表!$E:$E,控制措施表!$B:$B,$A29,控制措施表!$C:$C,$F29,控制措施表!$F:$F,"是")))</f>
        <v/>
      </c>
      <c r="P29" s="21">
        <f>IF($A29="","",IF(N29="",0,VLOOKUP(N29,参数配置!$D$4:$E$8,2,FALSE)))</f>
        <v/>
      </c>
      <c r="Q29" s="20">
        <f>IF($A29="","",ROUND(O29*(1-P29),2))</f>
        <v/>
      </c>
      <c r="R29" s="3">
        <f>IF($A29="","",IF(Q29&gt;=参数配置!$B$12,"极高",IF(Q29&gt;=参数配置!$B$13,"高",IF(Q29&gt;=参数配置!$B$14,"中",IF(Q29&gt;=参数配置!$B$15,"低","极低")))))</f>
        <v/>
      </c>
      <c r="S29" s="3">
        <f>IF($A29="","",ROUND(M29,0))</f>
        <v/>
      </c>
      <c r="T29" s="3">
        <f>IF($A29="","",ROUND(N29,0))</f>
        <v/>
      </c>
      <c r="U29" s="3">
        <f>IF($A29="","",IF(R29="极高","每年必审",IF(R29="高","每年审计",IF(R29="中","两年一轮","按需抽查"))))</f>
        <v/>
      </c>
      <c r="V29" s="21">
        <f>IF($A29="","",IF(N29=0,"",(N29-Q29)/N29))</f>
        <v/>
      </c>
      <c r="W29" s="19" t="inlineStr">
        <is>
          <t>财务、信息骨干离职率同比上升；AB 角覆盖不到位</t>
        </is>
      </c>
    </row>
    <row r="30">
      <c r="A30" s="19" t="inlineStr">
        <is>
          <t>R014</t>
        </is>
      </c>
      <c r="B30" s="19" t="inlineStr">
        <is>
          <t>招聘录用舞弊</t>
        </is>
      </c>
      <c r="C30" s="19" t="inlineStr">
        <is>
          <t>人力资源</t>
        </is>
      </c>
      <c r="D30" s="19" t="inlineStr">
        <is>
          <t>亲属回避制度执行不严，存在人情招聘</t>
        </is>
      </c>
      <c r="E30" s="19" t="inlineStr">
        <is>
          <t>人力资源部</t>
        </is>
      </c>
      <c r="F30" s="19" t="inlineStr">
        <is>
          <t>2025H2</t>
        </is>
      </c>
      <c r="G30" s="6" t="n">
        <v>3</v>
      </c>
      <c r="H30" s="6" t="n">
        <v>2</v>
      </c>
      <c r="I30" s="6" t="n">
        <v>4</v>
      </c>
      <c r="J30" s="6" t="n">
        <v>2</v>
      </c>
      <c r="K30" s="6" t="n">
        <v>3</v>
      </c>
      <c r="L30" s="6" t="n">
        <v>4</v>
      </c>
      <c r="M30" s="20">
        <f>IF($A30="","",ROUND(MAX(SUMPRODUCT(H30:L30,IFERROR(VLOOKUP($C30,参数配置!$A$26:$F$38,{2,3,4,5,6},FALSE),VLOOKUP(参数配置!$A$26,参数配置!$A$26:$F$38,{2,3,4,5,6},FALSE))),参数配置!$E$13*MAX(H30:L30)),2))</f>
        <v/>
      </c>
      <c r="N30" s="20">
        <f>IF($A30="","",ROUND(G30*M30,2))</f>
        <v/>
      </c>
      <c r="O30" s="3">
        <f>IF($A30="","",IF(COUNTIFS(控制措施表!$B:$B,$A30,控制措施表!$C:$C,$F30,控制措施表!$F:$F,"是")=0,IF(COUNTIFS(控制措施表!$B:$B,$A30,控制措施表!$C:$C,$F30)=0,"",MINIFS(控制措施表!$E:$E,控制措施表!$B:$B,$A30,控制措施表!$C:$C,$F30)),MINIFS(控制措施表!$E:$E,控制措施表!$B:$B,$A30,控制措施表!$C:$C,$F30,控制措施表!$F:$F,"是")))</f>
        <v/>
      </c>
      <c r="P30" s="21">
        <f>IF($A30="","",IF(N30="",0,VLOOKUP(N30,参数配置!$D$4:$E$8,2,FALSE)))</f>
        <v/>
      </c>
      <c r="Q30" s="20">
        <f>IF($A30="","",ROUND(O30*(1-P30),2))</f>
        <v/>
      </c>
      <c r="R30" s="3">
        <f>IF($A30="","",IF(Q30&gt;=参数配置!$B$12,"极高",IF(Q30&gt;=参数配置!$B$13,"高",IF(Q30&gt;=参数配置!$B$14,"中",IF(Q30&gt;=参数配置!$B$15,"低","极低")))))</f>
        <v/>
      </c>
      <c r="S30" s="3">
        <f>IF($A30="","",ROUND(M30,0))</f>
        <v/>
      </c>
      <c r="T30" s="3">
        <f>IF($A30="","",ROUND(N30,0))</f>
        <v/>
      </c>
      <c r="U30" s="3">
        <f>IF($A30="","",IF(R30="极高","每年必审",IF(R30="高","每年审计",IF(R30="中","两年一轮","按需抽查"))))</f>
        <v/>
      </c>
      <c r="V30" s="21">
        <f>IF($A30="","",IF(N30=0,"",(N30-Q30)/N30))</f>
        <v/>
      </c>
      <c r="W30" s="19" t="inlineStr">
        <is>
          <t>近三年未发现招聘舞弊案例；背景调查执行率 100%</t>
        </is>
      </c>
    </row>
    <row r="31">
      <c r="A31" s="19" t="inlineStr">
        <is>
          <t>R014</t>
        </is>
      </c>
      <c r="B31" s="19" t="inlineStr">
        <is>
          <t>招聘录用舞弊</t>
        </is>
      </c>
      <c r="C31" s="19" t="inlineStr">
        <is>
          <t>人力资源</t>
        </is>
      </c>
      <c r="D31" s="19" t="inlineStr">
        <is>
          <t>亲属回避制度执行不严，存在人情招聘</t>
        </is>
      </c>
      <c r="E31" s="19" t="inlineStr">
        <is>
          <t>人力资源部</t>
        </is>
      </c>
      <c r="F31" s="19" t="inlineStr">
        <is>
          <t>2026H1</t>
        </is>
      </c>
      <c r="G31" s="6" t="n">
        <v>2</v>
      </c>
      <c r="H31" s="6" t="n">
        <v>2</v>
      </c>
      <c r="I31" s="6" t="n">
        <v>4</v>
      </c>
      <c r="J31" s="6" t="n">
        <v>2</v>
      </c>
      <c r="K31" s="6" t="n">
        <v>3</v>
      </c>
      <c r="L31" s="6" t="n">
        <v>4</v>
      </c>
      <c r="M31" s="20">
        <f>IF($A31="","",ROUND(MAX(SUMPRODUCT(H31:L31,IFERROR(VLOOKUP($C31,参数配置!$A$26:$F$38,{2,3,4,5,6},FALSE),VLOOKUP(参数配置!$A$26,参数配置!$A$26:$F$38,{2,3,4,5,6},FALSE))),参数配置!$E$13*MAX(H31:L31)),2))</f>
        <v/>
      </c>
      <c r="N31" s="20">
        <f>IF($A31="","",ROUND(G31*M31,2))</f>
        <v/>
      </c>
      <c r="O31" s="3">
        <f>IF($A31="","",IF(COUNTIFS(控制措施表!$B:$B,$A31,控制措施表!$C:$C,$F31,控制措施表!$F:$F,"是")=0,IF(COUNTIFS(控制措施表!$B:$B,$A31,控制措施表!$C:$C,$F31)=0,"",MINIFS(控制措施表!$E:$E,控制措施表!$B:$B,$A31,控制措施表!$C:$C,$F31)),MINIFS(控制措施表!$E:$E,控制措施表!$B:$B,$A31,控制措施表!$C:$C,$F31,控制措施表!$F:$F,"是")))</f>
        <v/>
      </c>
      <c r="P31" s="21">
        <f>IF($A31="","",IF(N31="",0,VLOOKUP(N31,参数配置!$D$4:$E$8,2,FALSE)))</f>
        <v/>
      </c>
      <c r="Q31" s="20">
        <f>IF($A31="","",ROUND(O31*(1-P31),2))</f>
        <v/>
      </c>
      <c r="R31" s="3">
        <f>IF($A31="","",IF(Q31&gt;=参数配置!$B$12,"极高",IF(Q31&gt;=参数配置!$B$13,"高",IF(Q31&gt;=参数配置!$B$14,"中",IF(Q31&gt;=参数配置!$B$15,"低","极低")))))</f>
        <v/>
      </c>
      <c r="S31" s="3">
        <f>IF($A31="","",ROUND(M31,0))</f>
        <v/>
      </c>
      <c r="T31" s="3">
        <f>IF($A31="","",ROUND(N31,0))</f>
        <v/>
      </c>
      <c r="U31" s="3">
        <f>IF($A31="","",IF(R31="极高","每年必审",IF(R31="高","每年审计",IF(R31="中","两年一轮","按需抽查"))))</f>
        <v/>
      </c>
      <c r="V31" s="21">
        <f>IF($A31="","",IF(N31=0,"",(N31-Q31)/N31))</f>
        <v/>
      </c>
      <c r="W31" s="19" t="inlineStr">
        <is>
          <t>近三年未发现招聘舞弊案例；背景调查执行率 100%</t>
        </is>
      </c>
    </row>
    <row r="32">
      <c r="A32" s="19" t="inlineStr">
        <is>
          <t>R015</t>
        </is>
      </c>
      <c r="B32" s="19" t="inlineStr">
        <is>
          <t>存货盘点账实不符</t>
        </is>
      </c>
      <c r="C32" s="19" t="inlineStr">
        <is>
          <t>资产管理</t>
        </is>
      </c>
      <c r="D32" s="19" t="inlineStr">
        <is>
          <t>盘点流于形式，存货毁损盗失未能及时在账面反映</t>
        </is>
      </c>
      <c r="E32" s="19" t="inlineStr">
        <is>
          <t>物资部</t>
        </is>
      </c>
      <c r="F32" s="19" t="inlineStr">
        <is>
          <t>2025H2</t>
        </is>
      </c>
      <c r="G32" s="6" t="n">
        <v>3</v>
      </c>
      <c r="H32" s="6" t="n">
        <v>4</v>
      </c>
      <c r="I32" s="6" t="n">
        <v>3</v>
      </c>
      <c r="J32" s="6" t="n">
        <v>3</v>
      </c>
      <c r="K32" s="6" t="n">
        <v>3</v>
      </c>
      <c r="L32" s="6" t="n">
        <v>4</v>
      </c>
      <c r="M32" s="20">
        <f>IF($A32="","",ROUND(MAX(SUMPRODUCT(H32:L32,IFERROR(VLOOKUP($C32,参数配置!$A$26:$F$38,{2,3,4,5,6},FALSE),VLOOKUP(参数配置!$A$26,参数配置!$A$26:$F$38,{2,3,4,5,6},FALSE))),参数配置!$E$13*MAX(H32:L32)),2))</f>
        <v/>
      </c>
      <c r="N32" s="20">
        <f>IF($A32="","",ROUND(G32*M32,2))</f>
        <v/>
      </c>
      <c r="O32" s="3">
        <f>IF($A32="","",IF(COUNTIFS(控制措施表!$B:$B,$A32,控制措施表!$C:$C,$F32,控制措施表!$F:$F,"是")=0,IF(COUNTIFS(控制措施表!$B:$B,$A32,控制措施表!$C:$C,$F32)=0,"",MINIFS(控制措施表!$E:$E,控制措施表!$B:$B,$A32,控制措施表!$C:$C,$F32)),MINIFS(控制措施表!$E:$E,控制措施表!$B:$B,$A32,控制措施表!$C:$C,$F32,控制措施表!$F:$F,"是")))</f>
        <v/>
      </c>
      <c r="P32" s="21">
        <f>IF($A32="","",IF(N32="",0,VLOOKUP(N32,参数配置!$D$4:$E$8,2,FALSE)))</f>
        <v/>
      </c>
      <c r="Q32" s="20">
        <f>IF($A32="","",ROUND(O32*(1-P32),2))</f>
        <v/>
      </c>
      <c r="R32" s="3">
        <f>IF($A32="","",IF(Q32&gt;=参数配置!$B$12,"极高",IF(Q32&gt;=参数配置!$B$13,"高",IF(Q32&gt;=参数配置!$B$14,"中",IF(Q32&gt;=参数配置!$B$15,"低","极低")))))</f>
        <v/>
      </c>
      <c r="S32" s="3">
        <f>IF($A32="","",ROUND(M32,0))</f>
        <v/>
      </c>
      <c r="T32" s="3">
        <f>IF($A32="","",ROUND(N32,0))</f>
        <v/>
      </c>
      <c r="U32" s="3">
        <f>IF($A32="","",IF(R32="极高","每年必审",IF(R32="高","每年审计",IF(R32="中","两年一轮","按需抽查"))))</f>
        <v/>
      </c>
      <c r="V32" s="21">
        <f>IF($A32="","",IF(N32=0,"",(N32-Q32)/N32))</f>
        <v/>
      </c>
      <c r="W32" s="19" t="inlineStr">
        <is>
          <t>上期盘点差异率 0.8% 已整改；条码管理覆盖主要仓库</t>
        </is>
      </c>
    </row>
    <row r="33">
      <c r="A33" s="19" t="inlineStr">
        <is>
          <t>R015</t>
        </is>
      </c>
      <c r="B33" s="19" t="inlineStr">
        <is>
          <t>存货盘点账实不符</t>
        </is>
      </c>
      <c r="C33" s="19" t="inlineStr">
        <is>
          <t>资产管理</t>
        </is>
      </c>
      <c r="D33" s="19" t="inlineStr">
        <is>
          <t>盘点流于形式，存货毁损盗失未能及时在账面反映</t>
        </is>
      </c>
      <c r="E33" s="19" t="inlineStr">
        <is>
          <t>物资部</t>
        </is>
      </c>
      <c r="F33" s="19" t="inlineStr">
        <is>
          <t>2026H1</t>
        </is>
      </c>
      <c r="G33" s="6" t="n">
        <v>3</v>
      </c>
      <c r="H33" s="6" t="n">
        <v>4</v>
      </c>
      <c r="I33" s="6" t="n">
        <v>3</v>
      </c>
      <c r="J33" s="6" t="n">
        <v>3</v>
      </c>
      <c r="K33" s="6" t="n">
        <v>2</v>
      </c>
      <c r="L33" s="6" t="n">
        <v>3</v>
      </c>
      <c r="M33" s="20">
        <f>IF($A33="","",ROUND(MAX(SUMPRODUCT(H33:L33,IFERROR(VLOOKUP($C33,参数配置!$A$26:$F$38,{2,3,4,5,6},FALSE),VLOOKUP(参数配置!$A$26,参数配置!$A$26:$F$38,{2,3,4,5,6},FALSE))),参数配置!$E$13*MAX(H33:L33)),2))</f>
        <v/>
      </c>
      <c r="N33" s="20">
        <f>IF($A33="","",ROUND(G33*M33,2))</f>
        <v/>
      </c>
      <c r="O33" s="3">
        <f>IF($A33="","",IF(COUNTIFS(控制措施表!$B:$B,$A33,控制措施表!$C:$C,$F33,控制措施表!$F:$F,"是")=0,IF(COUNTIFS(控制措施表!$B:$B,$A33,控制措施表!$C:$C,$F33)=0,"",MINIFS(控制措施表!$E:$E,控制措施表!$B:$B,$A33,控制措施表!$C:$C,$F33)),MINIFS(控制措施表!$E:$E,控制措施表!$B:$B,$A33,控制措施表!$C:$C,$F33,控制措施表!$F:$F,"是")))</f>
        <v/>
      </c>
      <c r="P33" s="21">
        <f>IF($A33="","",IF(N33="",0,VLOOKUP(N33,参数配置!$D$4:$E$8,2,FALSE)))</f>
        <v/>
      </c>
      <c r="Q33" s="20">
        <f>IF($A33="","",ROUND(O33*(1-P33),2))</f>
        <v/>
      </c>
      <c r="R33" s="3">
        <f>IF($A33="","",IF(Q33&gt;=参数配置!$B$12,"极高",IF(Q33&gt;=参数配置!$B$13,"高",IF(Q33&gt;=参数配置!$B$14,"中",IF(Q33&gt;=参数配置!$B$15,"低","极低")))))</f>
        <v/>
      </c>
      <c r="S33" s="3">
        <f>IF($A33="","",ROUND(M33,0))</f>
        <v/>
      </c>
      <c r="T33" s="3">
        <f>IF($A33="","",ROUND(N33,0))</f>
        <v/>
      </c>
      <c r="U33" s="3">
        <f>IF($A33="","",IF(R33="极高","每年必审",IF(R33="高","每年审计",IF(R33="中","两年一轮","按需抽查"))))</f>
        <v/>
      </c>
      <c r="V33" s="21">
        <f>IF($A33="","",IF(N33=0,"",(N33-Q33)/N33))</f>
        <v/>
      </c>
      <c r="W33" s="19" t="inlineStr">
        <is>
          <t>上期盘点差异率 0.8% 已整改；条码管理覆盖主要仓库</t>
        </is>
      </c>
    </row>
    <row r="34">
      <c r="A34" s="19" t="inlineStr">
        <is>
          <t>R016</t>
        </is>
      </c>
      <c r="B34" s="19" t="inlineStr">
        <is>
          <t>固定资产闲置低效</t>
        </is>
      </c>
      <c r="C34" s="19" t="inlineStr">
        <is>
          <t>资产管理</t>
        </is>
      </c>
      <c r="D34" s="19" t="inlineStr">
        <is>
          <t>大额设备长期闲置，投资决策论证不充分</t>
        </is>
      </c>
      <c r="E34" s="19" t="inlineStr">
        <is>
          <t>资产管理部</t>
        </is>
      </c>
      <c r="F34" s="19" t="inlineStr">
        <is>
          <t>2025H2</t>
        </is>
      </c>
      <c r="G34" s="6" t="n">
        <v>3</v>
      </c>
      <c r="H34" s="6" t="n">
        <v>4</v>
      </c>
      <c r="I34" s="6" t="n">
        <v>2</v>
      </c>
      <c r="J34" s="6" t="n">
        <v>4</v>
      </c>
      <c r="K34" s="6" t="n">
        <v>3</v>
      </c>
      <c r="L34" s="6" t="n">
        <v>2</v>
      </c>
      <c r="M34" s="20">
        <f>IF($A34="","",ROUND(MAX(SUMPRODUCT(H34:L34,IFERROR(VLOOKUP($C34,参数配置!$A$26:$F$38,{2,3,4,5,6},FALSE),VLOOKUP(参数配置!$A$26,参数配置!$A$26:$F$38,{2,3,4,5,6},FALSE))),参数配置!$E$13*MAX(H34:L34)),2))</f>
        <v/>
      </c>
      <c r="N34" s="20">
        <f>IF($A34="","",ROUND(G34*M34,2))</f>
        <v/>
      </c>
      <c r="O34" s="3">
        <f>IF($A34="","",IF(COUNTIFS(控制措施表!$B:$B,$A34,控制措施表!$C:$C,$F34,控制措施表!$F:$F,"是")=0,IF(COUNTIFS(控制措施表!$B:$B,$A34,控制措施表!$C:$C,$F34)=0,"",MINIFS(控制措施表!$E:$E,控制措施表!$B:$B,$A34,控制措施表!$C:$C,$F34)),MINIFS(控制措施表!$E:$E,控制措施表!$B:$B,$A34,控制措施表!$C:$C,$F34,控制措施表!$F:$F,"是")))</f>
        <v/>
      </c>
      <c r="P34" s="21">
        <f>IF($A34="","",IF(N34="",0,VLOOKUP(N34,参数配置!$D$4:$E$8,2,FALSE)))</f>
        <v/>
      </c>
      <c r="Q34" s="20">
        <f>IF($A34="","",ROUND(O34*(1-P34),2))</f>
        <v/>
      </c>
      <c r="R34" s="3">
        <f>IF($A34="","",IF(Q34&gt;=参数配置!$B$12,"极高",IF(Q34&gt;=参数配置!$B$13,"高",IF(Q34&gt;=参数配置!$B$14,"中",IF(Q34&gt;=参数配置!$B$15,"低","极低")))))</f>
        <v/>
      </c>
      <c r="S34" s="3">
        <f>IF($A34="","",ROUND(M34,0))</f>
        <v/>
      </c>
      <c r="T34" s="3">
        <f>IF($A34="","",ROUND(N34,0))</f>
        <v/>
      </c>
      <c r="U34" s="3">
        <f>IF($A34="","",IF(R34="极高","每年必审",IF(R34="高","每年审计",IF(R34="中","两年一轮","按需抽查"))))</f>
        <v/>
      </c>
      <c r="V34" s="21">
        <f>IF($A34="","",IF(N34=0,"",(N34-Q34)/N34))</f>
        <v/>
      </c>
      <c r="W34" s="19" t="inlineStr">
        <is>
          <t>闲置设备原值 1,200 万元；投资后评价制度已发布</t>
        </is>
      </c>
    </row>
    <row r="35">
      <c r="A35" s="19" t="inlineStr">
        <is>
          <t>R016</t>
        </is>
      </c>
      <c r="B35" s="19" t="inlineStr">
        <is>
          <t>固定资产闲置低效</t>
        </is>
      </c>
      <c r="C35" s="19" t="inlineStr">
        <is>
          <t>资产管理</t>
        </is>
      </c>
      <c r="D35" s="19" t="inlineStr">
        <is>
          <t>大额设备长期闲置，投资决策论证不充分</t>
        </is>
      </c>
      <c r="E35" s="19" t="inlineStr">
        <is>
          <t>资产管理部</t>
        </is>
      </c>
      <c r="F35" s="19" t="inlineStr">
        <is>
          <t>2026H1</t>
        </is>
      </c>
      <c r="G35" s="6" t="n">
        <v>3</v>
      </c>
      <c r="H35" s="6" t="n">
        <v>4</v>
      </c>
      <c r="I35" s="6" t="n">
        <v>2</v>
      </c>
      <c r="J35" s="6" t="n">
        <v>3</v>
      </c>
      <c r="K35" s="6" t="n">
        <v>3</v>
      </c>
      <c r="L35" s="6" t="n">
        <v>2</v>
      </c>
      <c r="M35" s="20">
        <f>IF($A35="","",ROUND(MAX(SUMPRODUCT(H35:L35,IFERROR(VLOOKUP($C35,参数配置!$A$26:$F$38,{2,3,4,5,6},FALSE),VLOOKUP(参数配置!$A$26,参数配置!$A$26:$F$38,{2,3,4,5,6},FALSE))),参数配置!$E$13*MAX(H35:L35)),2))</f>
        <v/>
      </c>
      <c r="N35" s="20">
        <f>IF($A35="","",ROUND(G35*M35,2))</f>
        <v/>
      </c>
      <c r="O35" s="3">
        <f>IF($A35="","",IF(COUNTIFS(控制措施表!$B:$B,$A35,控制措施表!$C:$C,$F35,控制措施表!$F:$F,"是")=0,IF(COUNTIFS(控制措施表!$B:$B,$A35,控制措施表!$C:$C,$F35)=0,"",MINIFS(控制措施表!$E:$E,控制措施表!$B:$B,$A35,控制措施表!$C:$C,$F35)),MINIFS(控制措施表!$E:$E,控制措施表!$B:$B,$A35,控制措施表!$C:$C,$F35,控制措施表!$F:$F,"是")))</f>
        <v/>
      </c>
      <c r="P35" s="21">
        <f>IF($A35="","",IF(N35="",0,VLOOKUP(N35,参数配置!$D$4:$E$8,2,FALSE)))</f>
        <v/>
      </c>
      <c r="Q35" s="20">
        <f>IF($A35="","",ROUND(O35*(1-P35),2))</f>
        <v/>
      </c>
      <c r="R35" s="3">
        <f>IF($A35="","",IF(Q35&gt;=参数配置!$B$12,"极高",IF(Q35&gt;=参数配置!$B$13,"高",IF(Q35&gt;=参数配置!$B$14,"中",IF(Q35&gt;=参数配置!$B$15,"低","极低")))))</f>
        <v/>
      </c>
      <c r="S35" s="3">
        <f>IF($A35="","",ROUND(M35,0))</f>
        <v/>
      </c>
      <c r="T35" s="3">
        <f>IF($A35="","",ROUND(N35,0))</f>
        <v/>
      </c>
      <c r="U35" s="3">
        <f>IF($A35="","",IF(R35="极高","每年必审",IF(R35="高","每年审计",IF(R35="中","两年一轮","按需抽查"))))</f>
        <v/>
      </c>
      <c r="V35" s="21">
        <f>IF($A35="","",IF(N35=0,"",(N35-Q35)/N35))</f>
        <v/>
      </c>
      <c r="W35" s="19" t="inlineStr">
        <is>
          <t>闲置设备原值 1,200 万元；投资后评价制度已发布</t>
        </is>
      </c>
    </row>
    <row r="36">
      <c r="A36" s="19" t="inlineStr">
        <is>
          <t>R017</t>
        </is>
      </c>
      <c r="B36" s="19" t="inlineStr">
        <is>
          <t>重大投资决策论证不足</t>
        </is>
      </c>
      <c r="C36" s="19" t="inlineStr">
        <is>
          <t>战略与投资</t>
        </is>
      </c>
      <c r="D36" s="19" t="inlineStr">
        <is>
          <t>重大投资项目可行性论证不充分，决策失误造成损失</t>
        </is>
      </c>
      <c r="E36" s="19" t="inlineStr">
        <is>
          <t>投资发展部</t>
        </is>
      </c>
      <c r="F36" s="19" t="inlineStr">
        <is>
          <t>2025H2</t>
        </is>
      </c>
      <c r="G36" s="6" t="n">
        <v>4</v>
      </c>
      <c r="H36" s="6" t="n">
        <v>5</v>
      </c>
      <c r="I36" s="6" t="n">
        <v>2</v>
      </c>
      <c r="J36" s="6" t="n">
        <v>3</v>
      </c>
      <c r="K36" s="6" t="n">
        <v>4</v>
      </c>
      <c r="L36" s="6" t="n">
        <v>2</v>
      </c>
      <c r="M36" s="20">
        <f>IF($A36="","",ROUND(MAX(SUMPRODUCT(H36:L36,IFERROR(VLOOKUP($C36,参数配置!$A$26:$F$38,{2,3,4,5,6},FALSE),VLOOKUP(参数配置!$A$26,参数配置!$A$26:$F$38,{2,3,4,5,6},FALSE))),参数配置!$E$13*MAX(H36:L36)),2))</f>
        <v/>
      </c>
      <c r="N36" s="20">
        <f>IF($A36="","",ROUND(G36*M36,2))</f>
        <v/>
      </c>
      <c r="O36" s="3">
        <f>IF($A36="","",IF(COUNTIFS(控制措施表!$B:$B,$A36,控制措施表!$C:$C,$F36,控制措施表!$F:$F,"是")=0,IF(COUNTIFS(控制措施表!$B:$B,$A36,控制措施表!$C:$C,$F36)=0,"",MINIFS(控制措施表!$E:$E,控制措施表!$B:$B,$A36,控制措施表!$C:$C,$F36)),MINIFS(控制措施表!$E:$E,控制措施表!$B:$B,$A36,控制措施表!$C:$C,$F36,控制措施表!$F:$F,"是")))</f>
        <v/>
      </c>
      <c r="P36" s="21">
        <f>IF($A36="","",IF(N36="",0,VLOOKUP(N36,参数配置!$D$4:$E$8,2,FALSE)))</f>
        <v/>
      </c>
      <c r="Q36" s="20">
        <f>IF($A36="","",ROUND(O36*(1-P36),2))</f>
        <v/>
      </c>
      <c r="R36" s="3">
        <f>IF($A36="","",IF(Q36&gt;=参数配置!$B$12,"极高",IF(Q36&gt;=参数配置!$B$13,"高",IF(Q36&gt;=参数配置!$B$14,"中",IF(Q36&gt;=参数配置!$B$15,"低","极低")))))</f>
        <v/>
      </c>
      <c r="S36" s="3">
        <f>IF($A36="","",ROUND(M36,0))</f>
        <v/>
      </c>
      <c r="T36" s="3">
        <f>IF($A36="","",ROUND(N36,0))</f>
        <v/>
      </c>
      <c r="U36" s="3">
        <f>IF($A36="","",IF(R36="极高","每年必审",IF(R36="高","每年审计",IF(R36="中","两年一轮","按需抽查"))))</f>
        <v/>
      </c>
      <c r="V36" s="21">
        <f>IF($A36="","",IF(N36=0,"",(N36-Q36)/N36))</f>
        <v/>
      </c>
      <c r="W36" s="19" t="inlineStr">
        <is>
          <t>上年度两个投资项目未达可研预期收益；董事会决策留痕不全</t>
        </is>
      </c>
    </row>
    <row r="37">
      <c r="A37" s="19" t="inlineStr">
        <is>
          <t>R017</t>
        </is>
      </c>
      <c r="B37" s="19" t="inlineStr">
        <is>
          <t>重大投资决策论证不足</t>
        </is>
      </c>
      <c r="C37" s="19" t="inlineStr">
        <is>
          <t>战略与投资</t>
        </is>
      </c>
      <c r="D37" s="19" t="inlineStr">
        <is>
          <t>重大投资项目可行性论证不充分，决策失误造成损失</t>
        </is>
      </c>
      <c r="E37" s="19" t="inlineStr">
        <is>
          <t>投资发展部</t>
        </is>
      </c>
      <c r="F37" s="19" t="inlineStr">
        <is>
          <t>2026H1</t>
        </is>
      </c>
      <c r="G37" s="6" t="n">
        <v>3</v>
      </c>
      <c r="H37" s="6" t="n">
        <v>5</v>
      </c>
      <c r="I37" s="6" t="n">
        <v>2</v>
      </c>
      <c r="J37" s="6" t="n">
        <v>3</v>
      </c>
      <c r="K37" s="6" t="n">
        <v>4</v>
      </c>
      <c r="L37" s="6" t="n">
        <v>2</v>
      </c>
      <c r="M37" s="20">
        <f>IF($A37="","",ROUND(MAX(SUMPRODUCT(H37:L37,IFERROR(VLOOKUP($C37,参数配置!$A$26:$F$38,{2,3,4,5,6},FALSE),VLOOKUP(参数配置!$A$26,参数配置!$A$26:$F$38,{2,3,4,5,6},FALSE))),参数配置!$E$13*MAX(H37:L37)),2))</f>
        <v/>
      </c>
      <c r="N37" s="20">
        <f>IF($A37="","",ROUND(G37*M37,2))</f>
        <v/>
      </c>
      <c r="O37" s="3">
        <f>IF($A37="","",IF(COUNTIFS(控制措施表!$B:$B,$A37,控制措施表!$C:$C,$F37,控制措施表!$F:$F,"是")=0,IF(COUNTIFS(控制措施表!$B:$B,$A37,控制措施表!$C:$C,$F37)=0,"",MINIFS(控制措施表!$E:$E,控制措施表!$B:$B,$A37,控制措施表!$C:$C,$F37)),MINIFS(控制措施表!$E:$E,控制措施表!$B:$B,$A37,控制措施表!$C:$C,$F37,控制措施表!$F:$F,"是")))</f>
        <v/>
      </c>
      <c r="P37" s="21">
        <f>IF($A37="","",IF(N37="",0,VLOOKUP(N37,参数配置!$D$4:$E$8,2,FALSE)))</f>
        <v/>
      </c>
      <c r="Q37" s="20">
        <f>IF($A37="","",ROUND(O37*(1-P37),2))</f>
        <v/>
      </c>
      <c r="R37" s="3">
        <f>IF($A37="","",IF(Q37&gt;=参数配置!$B$12,"极高",IF(Q37&gt;=参数配置!$B$13,"高",IF(Q37&gt;=参数配置!$B$14,"中",IF(Q37&gt;=参数配置!$B$15,"低","极低")))))</f>
        <v/>
      </c>
      <c r="S37" s="3">
        <f>IF($A37="","",ROUND(M37,0))</f>
        <v/>
      </c>
      <c r="T37" s="3">
        <f>IF($A37="","",ROUND(N37,0))</f>
        <v/>
      </c>
      <c r="U37" s="3">
        <f>IF($A37="","",IF(R37="极高","每年必审",IF(R37="高","每年审计",IF(R37="中","两年一轮","按需抽查"))))</f>
        <v/>
      </c>
      <c r="V37" s="21">
        <f>IF($A37="","",IF(N37=0,"",(N37-Q37)/N37))</f>
        <v/>
      </c>
      <c r="W37" s="19" t="inlineStr">
        <is>
          <t>上年度两个投资项目未达可研预期收益；董事会决策留痕不全</t>
        </is>
      </c>
    </row>
    <row r="38">
      <c r="A38" s="19" t="inlineStr">
        <is>
          <t>R018</t>
        </is>
      </c>
      <c r="B38" s="19" t="inlineStr">
        <is>
          <t>“三重一大”决策程序执行不到位</t>
        </is>
      </c>
      <c r="C38" s="19" t="inlineStr">
        <is>
          <t>治理与决策</t>
        </is>
      </c>
      <c r="D38" s="19" t="inlineStr">
        <is>
          <t>重大事项未履行集体决策或前置程序，决策留痕不全</t>
        </is>
      </c>
      <c r="E38" s="19" t="inlineStr">
        <is>
          <t>董事会办公室</t>
        </is>
      </c>
      <c r="F38" s="19" t="inlineStr">
        <is>
          <t>2025H2</t>
        </is>
      </c>
      <c r="G38" s="6" t="n">
        <v>3</v>
      </c>
      <c r="H38" s="6" t="n">
        <v>4</v>
      </c>
      <c r="I38" s="6" t="n">
        <v>4</v>
      </c>
      <c r="J38" s="6" t="n">
        <v>3</v>
      </c>
      <c r="K38" s="6" t="n">
        <v>4</v>
      </c>
      <c r="L38" s="6" t="n">
        <v>3</v>
      </c>
      <c r="M38" s="20">
        <f>IF($A38="","",ROUND(MAX(SUMPRODUCT(H38:L38,IFERROR(VLOOKUP($C38,参数配置!$A$26:$F$38,{2,3,4,5,6},FALSE),VLOOKUP(参数配置!$A$26,参数配置!$A$26:$F$38,{2,3,4,5,6},FALSE))),参数配置!$E$13*MAX(H38:L38)),2))</f>
        <v/>
      </c>
      <c r="N38" s="20">
        <f>IF($A38="","",ROUND(G38*M38,2))</f>
        <v/>
      </c>
      <c r="O38" s="3">
        <f>IF($A38="","",IF(COUNTIFS(控制措施表!$B:$B,$A38,控制措施表!$C:$C,$F38,控制措施表!$F:$F,"是")=0,IF(COUNTIFS(控制措施表!$B:$B,$A38,控制措施表!$C:$C,$F38)=0,"",MINIFS(控制措施表!$E:$E,控制措施表!$B:$B,$A38,控制措施表!$C:$C,$F38)),MINIFS(控制措施表!$E:$E,控制措施表!$B:$B,$A38,控制措施表!$C:$C,$F38,控制措施表!$F:$F,"是")))</f>
        <v/>
      </c>
      <c r="P38" s="21">
        <f>IF($A38="","",IF(N38="",0,VLOOKUP(N38,参数配置!$D$4:$E$8,2,FALSE)))</f>
        <v/>
      </c>
      <c r="Q38" s="20">
        <f>IF($A38="","",ROUND(O38*(1-P38),2))</f>
        <v/>
      </c>
      <c r="R38" s="3">
        <f>IF($A38="","",IF(Q38&gt;=参数配置!$B$12,"极高",IF(Q38&gt;=参数配置!$B$13,"高",IF(Q38&gt;=参数配置!$B$14,"中",IF(Q38&gt;=参数配置!$B$15,"低","极低")))))</f>
        <v/>
      </c>
      <c r="S38" s="3">
        <f>IF($A38="","",ROUND(M38,0))</f>
        <v/>
      </c>
      <c r="T38" s="3">
        <f>IF($A38="","",ROUND(N38,0))</f>
        <v/>
      </c>
      <c r="U38" s="3">
        <f>IF($A38="","",IF(R38="极高","每年必审",IF(R38="高","每年审计",IF(R38="中","两年一轮","按需抽查"))))</f>
        <v/>
      </c>
      <c r="V38" s="21">
        <f>IF($A38="","",IF(N38=0,"",(N38-Q38)/N38))</f>
        <v/>
      </c>
      <c r="W38" s="19" t="inlineStr">
        <is>
          <t>审计发现 2 项大额事项未见集体决策记录</t>
        </is>
      </c>
    </row>
    <row r="39">
      <c r="A39" s="19" t="inlineStr">
        <is>
          <t>R018</t>
        </is>
      </c>
      <c r="B39" s="19" t="inlineStr">
        <is>
          <t>“三重一大”决策程序执行不到位</t>
        </is>
      </c>
      <c r="C39" s="19" t="inlineStr">
        <is>
          <t>治理与决策</t>
        </is>
      </c>
      <c r="D39" s="19" t="inlineStr">
        <is>
          <t>重大事项未履行集体决策或前置程序，决策留痕不全</t>
        </is>
      </c>
      <c r="E39" s="19" t="inlineStr">
        <is>
          <t>董事会办公室</t>
        </is>
      </c>
      <c r="F39" s="19" t="inlineStr">
        <is>
          <t>2026H1</t>
        </is>
      </c>
      <c r="G39" s="6" t="n">
        <v>2</v>
      </c>
      <c r="H39" s="6" t="n">
        <v>4</v>
      </c>
      <c r="I39" s="6" t="n">
        <v>4</v>
      </c>
      <c r="J39" s="6" t="n">
        <v>3</v>
      </c>
      <c r="K39" s="6" t="n">
        <v>4</v>
      </c>
      <c r="L39" s="6" t="n">
        <v>3</v>
      </c>
      <c r="M39" s="20">
        <f>IF($A39="","",ROUND(MAX(SUMPRODUCT(H39:L39,IFERROR(VLOOKUP($C39,参数配置!$A$26:$F$38,{2,3,4,5,6},FALSE),VLOOKUP(参数配置!$A$26,参数配置!$A$26:$F$38,{2,3,4,5,6},FALSE))),参数配置!$E$13*MAX(H39:L39)),2))</f>
        <v/>
      </c>
      <c r="N39" s="20">
        <f>IF($A39="","",ROUND(G39*M39,2))</f>
        <v/>
      </c>
      <c r="O39" s="3">
        <f>IF($A39="","",IF(COUNTIFS(控制措施表!$B:$B,$A39,控制措施表!$C:$C,$F39,控制措施表!$F:$F,"是")=0,IF(COUNTIFS(控制措施表!$B:$B,$A39,控制措施表!$C:$C,$F39)=0,"",MINIFS(控制措施表!$E:$E,控制措施表!$B:$B,$A39,控制措施表!$C:$C,$F39)),MINIFS(控制措施表!$E:$E,控制措施表!$B:$B,$A39,控制措施表!$C:$C,$F39,控制措施表!$F:$F,"是")))</f>
        <v/>
      </c>
      <c r="P39" s="21">
        <f>IF($A39="","",IF(N39="",0,VLOOKUP(N39,参数配置!$D$4:$E$8,2,FALSE)))</f>
        <v/>
      </c>
      <c r="Q39" s="20">
        <f>IF($A39="","",ROUND(O39*(1-P39),2))</f>
        <v/>
      </c>
      <c r="R39" s="3">
        <f>IF($A39="","",IF(Q39&gt;=参数配置!$B$12,"极高",IF(Q39&gt;=参数配置!$B$13,"高",IF(Q39&gt;=参数配置!$B$14,"中",IF(Q39&gt;=参数配置!$B$15,"低","极低")))))</f>
        <v/>
      </c>
      <c r="S39" s="3">
        <f>IF($A39="","",ROUND(M39,0))</f>
        <v/>
      </c>
      <c r="T39" s="3">
        <f>IF($A39="","",ROUND(N39,0))</f>
        <v/>
      </c>
      <c r="U39" s="3">
        <f>IF($A39="","",IF(R39="极高","每年必审",IF(R39="高","每年审计",IF(R39="中","两年一轮","按需抽查"))))</f>
        <v/>
      </c>
      <c r="V39" s="21">
        <f>IF($A39="","",IF(N39=0,"",(N39-Q39)/N39))</f>
        <v/>
      </c>
      <c r="W39" s="19" t="inlineStr">
        <is>
          <t>审计发现 2 项大额事项未见集体决策记录</t>
        </is>
      </c>
    </row>
    <row r="40">
      <c r="A40" s="19" t="inlineStr">
        <is>
          <t>R019</t>
        </is>
      </c>
      <c r="B40" s="19" t="inlineStr">
        <is>
          <t>税务申报与筹划合规</t>
        </is>
      </c>
      <c r="C40" s="19" t="inlineStr">
        <is>
          <t>财务报告与税务</t>
        </is>
      </c>
      <c r="D40" s="19" t="inlineStr">
        <is>
          <t>税务申报差错与筹划激进，引发补税罚款与信用降级</t>
        </is>
      </c>
      <c r="E40" s="19" t="inlineStr">
        <is>
          <t>财务部</t>
        </is>
      </c>
      <c r="F40" s="19" t="inlineStr">
        <is>
          <t>2025H2</t>
        </is>
      </c>
      <c r="G40" s="6" t="n">
        <v>3</v>
      </c>
      <c r="H40" s="6" t="n">
        <v>4</v>
      </c>
      <c r="I40" s="6" t="n">
        <v>5</v>
      </c>
      <c r="J40" s="6" t="n">
        <v>2</v>
      </c>
      <c r="K40" s="6" t="n">
        <v>3</v>
      </c>
      <c r="L40" s="6" t="n">
        <v>1</v>
      </c>
      <c r="M40" s="20">
        <f>IF($A40="","",ROUND(MAX(SUMPRODUCT(H40:L40,IFERROR(VLOOKUP($C40,参数配置!$A$26:$F$38,{2,3,4,5,6},FALSE),VLOOKUP(参数配置!$A$26,参数配置!$A$26:$F$38,{2,3,4,5,6},FALSE))),参数配置!$E$13*MAX(H40:L40)),2))</f>
        <v/>
      </c>
      <c r="N40" s="20">
        <f>IF($A40="","",ROUND(G40*M40,2))</f>
        <v/>
      </c>
      <c r="O40" s="3">
        <f>IF($A40="","",IF(COUNTIFS(控制措施表!$B:$B,$A40,控制措施表!$C:$C,$F40,控制措施表!$F:$F,"是")=0,IF(COUNTIFS(控制措施表!$B:$B,$A40,控制措施表!$C:$C,$F40)=0,"",MINIFS(控制措施表!$E:$E,控制措施表!$B:$B,$A40,控制措施表!$C:$C,$F40)),MINIFS(控制措施表!$E:$E,控制措施表!$B:$B,$A40,控制措施表!$C:$C,$F40,控制措施表!$F:$F,"是")))</f>
        <v/>
      </c>
      <c r="P40" s="21">
        <f>IF($A40="","",IF(N40="",0,VLOOKUP(N40,参数配置!$D$4:$E$8,2,FALSE)))</f>
        <v/>
      </c>
      <c r="Q40" s="20">
        <f>IF($A40="","",ROUND(O40*(1-P40),2))</f>
        <v/>
      </c>
      <c r="R40" s="3">
        <f>IF($A40="","",IF(Q40&gt;=参数配置!$B$12,"极高",IF(Q40&gt;=参数配置!$B$13,"高",IF(Q40&gt;=参数配置!$B$14,"中",IF(Q40&gt;=参数配置!$B$15,"低","极低")))))</f>
        <v/>
      </c>
      <c r="S40" s="3">
        <f>IF($A40="","",ROUND(M40,0))</f>
        <v/>
      </c>
      <c r="T40" s="3">
        <f>IF($A40="","",ROUND(N40,0))</f>
        <v/>
      </c>
      <c r="U40" s="3">
        <f>IF($A40="","",IF(R40="极高","每年必审",IF(R40="高","每年审计",IF(R40="中","两年一轮","按需抽查"))))</f>
        <v/>
      </c>
      <c r="V40" s="21">
        <f>IF($A40="","",IF(N40=0,"",(N40-Q40)/N40))</f>
        <v/>
      </c>
      <c r="W40" s="19" t="inlineStr">
        <is>
          <t>上年度汇算清缴调整事项 5 项；无税务处罚记录</t>
        </is>
      </c>
    </row>
    <row r="41">
      <c r="A41" s="19" t="inlineStr">
        <is>
          <t>R019</t>
        </is>
      </c>
      <c r="B41" s="19" t="inlineStr">
        <is>
          <t>税务申报与筹划合规</t>
        </is>
      </c>
      <c r="C41" s="19" t="inlineStr">
        <is>
          <t>财务报告与税务</t>
        </is>
      </c>
      <c r="D41" s="19" t="inlineStr">
        <is>
          <t>税务申报差错与筹划激进，引发补税罚款与信用降级</t>
        </is>
      </c>
      <c r="E41" s="19" t="inlineStr">
        <is>
          <t>财务部</t>
        </is>
      </c>
      <c r="F41" s="19" t="inlineStr">
        <is>
          <t>2026H1</t>
        </is>
      </c>
      <c r="G41" s="6" t="n">
        <v>2</v>
      </c>
      <c r="H41" s="6" t="n">
        <v>4</v>
      </c>
      <c r="I41" s="6" t="n">
        <v>5</v>
      </c>
      <c r="J41" s="6" t="n">
        <v>2</v>
      </c>
      <c r="K41" s="6" t="n">
        <v>3</v>
      </c>
      <c r="L41" s="6" t="n">
        <v>1</v>
      </c>
      <c r="M41" s="20">
        <f>IF($A41="","",ROUND(MAX(SUMPRODUCT(H41:L41,IFERROR(VLOOKUP($C41,参数配置!$A$26:$F$38,{2,3,4,5,6},FALSE),VLOOKUP(参数配置!$A$26,参数配置!$A$26:$F$38,{2,3,4,5,6},FALSE))),参数配置!$E$13*MAX(H41:L41)),2))</f>
        <v/>
      </c>
      <c r="N41" s="20">
        <f>IF($A41="","",ROUND(G41*M41,2))</f>
        <v/>
      </c>
      <c r="O41" s="3">
        <f>IF($A41="","",IF(COUNTIFS(控制措施表!$B:$B,$A41,控制措施表!$C:$C,$F41,控制措施表!$F:$F,"是")=0,IF(COUNTIFS(控制措施表!$B:$B,$A41,控制措施表!$C:$C,$F41)=0,"",MINIFS(控制措施表!$E:$E,控制措施表!$B:$B,$A41,控制措施表!$C:$C,$F41)),MINIFS(控制措施表!$E:$E,控制措施表!$B:$B,$A41,控制措施表!$C:$C,$F41,控制措施表!$F:$F,"是")))</f>
        <v/>
      </c>
      <c r="P41" s="21">
        <f>IF($A41="","",IF(N41="",0,VLOOKUP(N41,参数配置!$D$4:$E$8,2,FALSE)))</f>
        <v/>
      </c>
      <c r="Q41" s="20">
        <f>IF($A41="","",ROUND(O41*(1-P41),2))</f>
        <v/>
      </c>
      <c r="R41" s="3">
        <f>IF($A41="","",IF(Q41&gt;=参数配置!$B$12,"极高",IF(Q41&gt;=参数配置!$B$13,"高",IF(Q41&gt;=参数配置!$B$14,"中",IF(Q41&gt;=参数配置!$B$15,"低","极低")))))</f>
        <v/>
      </c>
      <c r="S41" s="3">
        <f>IF($A41="","",ROUND(M41,0))</f>
        <v/>
      </c>
      <c r="T41" s="3">
        <f>IF($A41="","",ROUND(N41,0))</f>
        <v/>
      </c>
      <c r="U41" s="3">
        <f>IF($A41="","",IF(R41="极高","每年必审",IF(R41="高","每年审计",IF(R41="中","两年一轮","按需抽查"))))</f>
        <v/>
      </c>
      <c r="V41" s="21">
        <f>IF($A41="","",IF(N41=0,"",(N41-Q41)/N41))</f>
        <v/>
      </c>
      <c r="W41" s="19" t="inlineStr">
        <is>
          <t>上年度汇算清缴调整事项 5 项；无税务处罚记录</t>
        </is>
      </c>
    </row>
    <row r="42">
      <c r="A42" s="19" t="inlineStr">
        <is>
          <t>R020</t>
        </is>
      </c>
      <c r="B42" s="19" t="inlineStr">
        <is>
          <t>合同履约与变更管理</t>
        </is>
      </c>
      <c r="C42" s="19" t="inlineStr">
        <is>
          <t>合同管理</t>
        </is>
      </c>
      <c r="D42" s="19" t="inlineStr">
        <is>
          <t>履约跟踪不到位，变更与索赔管理失控</t>
        </is>
      </c>
      <c r="E42" s="19" t="inlineStr">
        <is>
          <t>法务部</t>
        </is>
      </c>
      <c r="F42" s="19" t="inlineStr">
        <is>
          <t>2025H2</t>
        </is>
      </c>
      <c r="G42" s="6" t="n">
        <v>3</v>
      </c>
      <c r="H42" s="6" t="n">
        <v>4</v>
      </c>
      <c r="I42" s="6" t="n">
        <v>3</v>
      </c>
      <c r="J42" s="6" t="n">
        <v>4</v>
      </c>
      <c r="K42" s="6" t="n">
        <v>3</v>
      </c>
      <c r="L42" s="6" t="n">
        <v>3</v>
      </c>
      <c r="M42" s="20">
        <f>IF($A42="","",ROUND(MAX(SUMPRODUCT(H42:L42,IFERROR(VLOOKUP($C42,参数配置!$A$26:$F$38,{2,3,4,5,6},FALSE),VLOOKUP(参数配置!$A$26,参数配置!$A$26:$F$38,{2,3,4,5,6},FALSE))),参数配置!$E$13*MAX(H42:L42)),2))</f>
        <v/>
      </c>
      <c r="N42" s="20">
        <f>IF($A42="","",ROUND(G42*M42,2))</f>
        <v/>
      </c>
      <c r="O42" s="3">
        <f>IF($A42="","",IF(COUNTIFS(控制措施表!$B:$B,$A42,控制措施表!$C:$C,$F42,控制措施表!$F:$F,"是")=0,IF(COUNTIFS(控制措施表!$B:$B,$A42,控制措施表!$C:$C,$F42)=0,"",MINIFS(控制措施表!$E:$E,控制措施表!$B:$B,$A42,控制措施表!$C:$C,$F42)),MINIFS(控制措施表!$E:$E,控制措施表!$B:$B,$A42,控制措施表!$C:$C,$F42,控制措施表!$F:$F,"是")))</f>
        <v/>
      </c>
      <c r="P42" s="21">
        <f>IF($A42="","",IF(N42="",0,VLOOKUP(N42,参数配置!$D$4:$E$8,2,FALSE)))</f>
        <v/>
      </c>
      <c r="Q42" s="20">
        <f>IF($A42="","",ROUND(O42*(1-P42),2))</f>
        <v/>
      </c>
      <c r="R42" s="3">
        <f>IF($A42="","",IF(Q42&gt;=参数配置!$B$12,"极高",IF(Q42&gt;=参数配置!$B$13,"高",IF(Q42&gt;=参数配置!$B$14,"中",IF(Q42&gt;=参数配置!$B$15,"低","极低")))))</f>
        <v/>
      </c>
      <c r="S42" s="3">
        <f>IF($A42="","",ROUND(M42,0))</f>
        <v/>
      </c>
      <c r="T42" s="3">
        <f>IF($A42="","",ROUND(N42,0))</f>
        <v/>
      </c>
      <c r="U42" s="3">
        <f>IF($A42="","",IF(R42="极高","每年必审",IF(R42="高","每年审计",IF(R42="中","两年一轮","按需抽查"))))</f>
        <v/>
      </c>
      <c r="V42" s="21">
        <f>IF($A42="","",IF(N42=0,"",(N42-Q42)/N42))</f>
        <v/>
      </c>
      <c r="W42" s="19" t="inlineStr">
        <is>
          <t>履约台账覆盖率 70%；2 份合同变更未走审批</t>
        </is>
      </c>
    </row>
    <row r="43">
      <c r="A43" s="19" t="inlineStr">
        <is>
          <t>R020</t>
        </is>
      </c>
      <c r="B43" s="19" t="inlineStr">
        <is>
          <t>合同履约与变更管理</t>
        </is>
      </c>
      <c r="C43" s="19" t="inlineStr">
        <is>
          <t>合同管理</t>
        </is>
      </c>
      <c r="D43" s="19" t="inlineStr">
        <is>
          <t>履约跟踪不到位，变更与索赔管理失控</t>
        </is>
      </c>
      <c r="E43" s="19" t="inlineStr">
        <is>
          <t>法务部</t>
        </is>
      </c>
      <c r="F43" s="19" t="inlineStr">
        <is>
          <t>2026H1</t>
        </is>
      </c>
      <c r="G43" s="6" t="n">
        <v>3</v>
      </c>
      <c r="H43" s="6" t="n">
        <v>4</v>
      </c>
      <c r="I43" s="6" t="n">
        <v>3</v>
      </c>
      <c r="J43" s="6" t="n">
        <v>4</v>
      </c>
      <c r="K43" s="6" t="n">
        <v>2</v>
      </c>
      <c r="L43" s="6" t="n">
        <v>2</v>
      </c>
      <c r="M43" s="20">
        <f>IF($A43="","",ROUND(MAX(SUMPRODUCT(H43:L43,IFERROR(VLOOKUP($C43,参数配置!$A$26:$F$38,{2,3,4,5,6},FALSE),VLOOKUP(参数配置!$A$26,参数配置!$A$26:$F$38,{2,3,4,5,6},FALSE))),参数配置!$E$13*MAX(H43:L43)),2))</f>
        <v/>
      </c>
      <c r="N43" s="20">
        <f>IF($A43="","",ROUND(G43*M43,2))</f>
        <v/>
      </c>
      <c r="O43" s="3">
        <f>IF($A43="","",IF(COUNTIFS(控制措施表!$B:$B,$A43,控制措施表!$C:$C,$F43,控制措施表!$F:$F,"是")=0,IF(COUNTIFS(控制措施表!$B:$B,$A43,控制措施表!$C:$C,$F43)=0,"",MINIFS(控制措施表!$E:$E,控制措施表!$B:$B,$A43,控制措施表!$C:$C,$F43)),MINIFS(控制措施表!$E:$E,控制措施表!$B:$B,$A43,控制措施表!$C:$C,$F43,控制措施表!$F:$F,"是")))</f>
        <v/>
      </c>
      <c r="P43" s="21">
        <f>IF($A43="","",IF(N43="",0,VLOOKUP(N43,参数配置!$D$4:$E$8,2,FALSE)))</f>
        <v/>
      </c>
      <c r="Q43" s="20">
        <f>IF($A43="","",ROUND(O43*(1-P43),2))</f>
        <v/>
      </c>
      <c r="R43" s="3">
        <f>IF($A43="","",IF(Q43&gt;=参数配置!$B$12,"极高",IF(Q43&gt;=参数配置!$B$13,"高",IF(Q43&gt;=参数配置!$B$14,"中",IF(Q43&gt;=参数配置!$B$15,"低","极低")))))</f>
        <v/>
      </c>
      <c r="S43" s="3">
        <f>IF($A43="","",ROUND(M43,0))</f>
        <v/>
      </c>
      <c r="T43" s="3">
        <f>IF($A43="","",ROUND(N43,0))</f>
        <v/>
      </c>
      <c r="U43" s="3">
        <f>IF($A43="","",IF(R43="极高","每年必审",IF(R43="高","每年审计",IF(R43="中","两年一轮","按需抽查"))))</f>
        <v/>
      </c>
      <c r="V43" s="21">
        <f>IF($A43="","",IF(N43=0,"",(N43-Q43)/N43))</f>
        <v/>
      </c>
      <c r="W43" s="19" t="inlineStr">
        <is>
          <t>履约台账覆盖率 70%；2 份合同变更未走审批</t>
        </is>
      </c>
    </row>
    <row r="44">
      <c r="A44" s="19" t="inlineStr">
        <is>
          <t>R021</t>
        </is>
      </c>
      <c r="B44" s="19" t="inlineStr">
        <is>
          <t>业务外包管理失控</t>
        </is>
      </c>
      <c r="C44" s="19" t="inlineStr">
        <is>
          <t>采购与外包</t>
        </is>
      </c>
      <c r="D44" s="19" t="inlineStr">
        <is>
          <t>外包商准入评价与过程监督缺失，责任转嫁不出去</t>
        </is>
      </c>
      <c r="E44" s="19" t="inlineStr">
        <is>
          <t>采购部</t>
        </is>
      </c>
      <c r="F44" s="19" t="inlineStr">
        <is>
          <t>2025H2</t>
        </is>
      </c>
      <c r="G44" s="6" t="n">
        <v>4</v>
      </c>
      <c r="H44" s="6" t="n">
        <v>3</v>
      </c>
      <c r="I44" s="6" t="n">
        <v>4</v>
      </c>
      <c r="J44" s="6" t="n">
        <v>4</v>
      </c>
      <c r="K44" s="6" t="n">
        <v>2</v>
      </c>
      <c r="L44" s="6" t="n">
        <v>3</v>
      </c>
      <c r="M44" s="20">
        <f>IF($A44="","",ROUND(MAX(SUMPRODUCT(H44:L44,IFERROR(VLOOKUP($C44,参数配置!$A$26:$F$38,{2,3,4,5,6},FALSE),VLOOKUP(参数配置!$A$26,参数配置!$A$26:$F$38,{2,3,4,5,6},FALSE))),参数配置!$E$13*MAX(H44:L44)),2))</f>
        <v/>
      </c>
      <c r="N44" s="20">
        <f>IF($A44="","",ROUND(G44*M44,2))</f>
        <v/>
      </c>
      <c r="O44" s="3">
        <f>IF($A44="","",IF(COUNTIFS(控制措施表!$B:$B,$A44,控制措施表!$C:$C,$F44,控制措施表!$F:$F,"是")=0,IF(COUNTIFS(控制措施表!$B:$B,$A44,控制措施表!$C:$C,$F44)=0,"",MINIFS(控制措施表!$E:$E,控制措施表!$B:$B,$A44,控制措施表!$C:$C,$F44)),MINIFS(控制措施表!$E:$E,控制措施表!$B:$B,$A44,控制措施表!$C:$C,$F44,控制措施表!$F:$F,"是")))</f>
        <v/>
      </c>
      <c r="P44" s="21">
        <f>IF($A44="","",IF(N44="",0,VLOOKUP(N44,参数配置!$D$4:$E$8,2,FALSE)))</f>
        <v/>
      </c>
      <c r="Q44" s="20">
        <f>IF($A44="","",ROUND(O44*(1-P44),2))</f>
        <v/>
      </c>
      <c r="R44" s="3">
        <f>IF($A44="","",IF(Q44&gt;=参数配置!$B$12,"极高",IF(Q44&gt;=参数配置!$B$13,"高",IF(Q44&gt;=参数配置!$B$14,"中",IF(Q44&gt;=参数配置!$B$15,"低","极低")))))</f>
        <v/>
      </c>
      <c r="S44" s="3">
        <f>IF($A44="","",ROUND(M44,0))</f>
        <v/>
      </c>
      <c r="T44" s="3">
        <f>IF($A44="","",ROUND(N44,0))</f>
        <v/>
      </c>
      <c r="U44" s="3">
        <f>IF($A44="","",IF(R44="极高","每年必审",IF(R44="高","每年审计",IF(R44="中","两年一轮","按需抽查"))))</f>
        <v/>
      </c>
      <c r="V44" s="21">
        <f>IF($A44="","",IF(N44=0,"",(N44-Q44)/N44))</f>
        <v/>
      </c>
      <c r="W44" s="19" t="inlineStr">
        <is>
          <t>外包商名录 3 年未更新；发生 1 起外包安全事故</t>
        </is>
      </c>
    </row>
    <row r="45">
      <c r="A45" s="19" t="inlineStr">
        <is>
          <t>R021</t>
        </is>
      </c>
      <c r="B45" s="19" t="inlineStr">
        <is>
          <t>业务外包管理失控</t>
        </is>
      </c>
      <c r="C45" s="19" t="inlineStr">
        <is>
          <t>采购与外包</t>
        </is>
      </c>
      <c r="D45" s="19" t="inlineStr">
        <is>
          <t>外包商准入评价与过程监督缺失，责任转嫁不出去</t>
        </is>
      </c>
      <c r="E45" s="19" t="inlineStr">
        <is>
          <t>采购部</t>
        </is>
      </c>
      <c r="F45" s="19" t="inlineStr">
        <is>
          <t>2026H1</t>
        </is>
      </c>
      <c r="G45" s="6" t="n">
        <v>3</v>
      </c>
      <c r="H45" s="6" t="n">
        <v>3</v>
      </c>
      <c r="I45" s="6" t="n">
        <v>4</v>
      </c>
      <c r="J45" s="6" t="n">
        <v>4</v>
      </c>
      <c r="K45" s="6" t="n">
        <v>2</v>
      </c>
      <c r="L45" s="6" t="n">
        <v>3</v>
      </c>
      <c r="M45" s="20">
        <f>IF($A45="","",ROUND(MAX(SUMPRODUCT(H45:L45,IFERROR(VLOOKUP($C45,参数配置!$A$26:$F$38,{2,3,4,5,6},FALSE),VLOOKUP(参数配置!$A$26,参数配置!$A$26:$F$38,{2,3,4,5,6},FALSE))),参数配置!$E$13*MAX(H45:L45)),2))</f>
        <v/>
      </c>
      <c r="N45" s="20">
        <f>IF($A45="","",ROUND(G45*M45,2))</f>
        <v/>
      </c>
      <c r="O45" s="3">
        <f>IF($A45="","",IF(COUNTIFS(控制措施表!$B:$B,$A45,控制措施表!$C:$C,$F45,控制措施表!$F:$F,"是")=0,IF(COUNTIFS(控制措施表!$B:$B,$A45,控制措施表!$C:$C,$F45)=0,"",MINIFS(控制措施表!$E:$E,控制措施表!$B:$B,$A45,控制措施表!$C:$C,$F45)),MINIFS(控制措施表!$E:$E,控制措施表!$B:$B,$A45,控制措施表!$C:$C,$F45,控制措施表!$F:$F,"是")))</f>
        <v/>
      </c>
      <c r="P45" s="21">
        <f>IF($A45="","",IF(N45="",0,VLOOKUP(N45,参数配置!$D$4:$E$8,2,FALSE)))</f>
        <v/>
      </c>
      <c r="Q45" s="20">
        <f>IF($A45="","",ROUND(O45*(1-P45),2))</f>
        <v/>
      </c>
      <c r="R45" s="3">
        <f>IF($A45="","",IF(Q45&gt;=参数配置!$B$12,"极高",IF(Q45&gt;=参数配置!$B$13,"高",IF(Q45&gt;=参数配置!$B$14,"中",IF(Q45&gt;=参数配置!$B$15,"低","极低")))))</f>
        <v/>
      </c>
      <c r="S45" s="3">
        <f>IF($A45="","",ROUND(M45,0))</f>
        <v/>
      </c>
      <c r="T45" s="3">
        <f>IF($A45="","",ROUND(N45,0))</f>
        <v/>
      </c>
      <c r="U45" s="3">
        <f>IF($A45="","",IF(R45="极高","每年必审",IF(R45="高","每年审计",IF(R45="中","两年一轮","按需抽查"))))</f>
        <v/>
      </c>
      <c r="V45" s="21">
        <f>IF($A45="","",IF(N45=0,"",(N45-Q45)/N45))</f>
        <v/>
      </c>
      <c r="W45" s="19" t="inlineStr">
        <is>
          <t>外包商名录 3 年未更新；发生 1 起外包安全事故</t>
        </is>
      </c>
    </row>
    <row r="46">
      <c r="A46" s="19" t="inlineStr">
        <is>
          <t>R022</t>
        </is>
      </c>
      <c r="B46" s="19" t="inlineStr">
        <is>
          <t>数据合规与个人信息保护</t>
        </is>
      </c>
      <c r="C46" s="19" t="inlineStr">
        <is>
          <t>合规与法律</t>
        </is>
      </c>
      <c r="D46" s="19" t="inlineStr">
        <is>
          <t>个人信息处理与数据出境不合规，面临监管处罚</t>
        </is>
      </c>
      <c r="E46" s="19" t="inlineStr">
        <is>
          <t>法务部</t>
        </is>
      </c>
      <c r="F46" s="19" t="inlineStr">
        <is>
          <t>2025H2</t>
        </is>
      </c>
      <c r="G46" s="6" t="n">
        <v>4</v>
      </c>
      <c r="H46" s="6" t="n">
        <v>3</v>
      </c>
      <c r="I46" s="6" t="n">
        <v>5</v>
      </c>
      <c r="J46" s="6" t="n">
        <v>3</v>
      </c>
      <c r="K46" s="6" t="n">
        <v>4</v>
      </c>
      <c r="L46" s="6" t="n">
        <v>1</v>
      </c>
      <c r="M46" s="20">
        <f>IF($A46="","",ROUND(MAX(SUMPRODUCT(H46:L46,IFERROR(VLOOKUP($C46,参数配置!$A$26:$F$38,{2,3,4,5,6},FALSE),VLOOKUP(参数配置!$A$26,参数配置!$A$26:$F$38,{2,3,4,5,6},FALSE))),参数配置!$E$13*MAX(H46:L46)),2))</f>
        <v/>
      </c>
      <c r="N46" s="20">
        <f>IF($A46="","",ROUND(G46*M46,2))</f>
        <v/>
      </c>
      <c r="O46" s="3">
        <f>IF($A46="","",IF(COUNTIFS(控制措施表!$B:$B,$A46,控制措施表!$C:$C,$F46,控制措施表!$F:$F,"是")=0,IF(COUNTIFS(控制措施表!$B:$B,$A46,控制措施表!$C:$C,$F46)=0,"",MINIFS(控制措施表!$E:$E,控制措施表!$B:$B,$A46,控制措施表!$C:$C,$F46)),MINIFS(控制措施表!$E:$E,控制措施表!$B:$B,$A46,控制措施表!$C:$C,$F46,控制措施表!$F:$F,"是")))</f>
        <v/>
      </c>
      <c r="P46" s="21">
        <f>IF($A46="","",IF(N46="",0,VLOOKUP(N46,参数配置!$D$4:$E$8,2,FALSE)))</f>
        <v/>
      </c>
      <c r="Q46" s="20">
        <f>IF($A46="","",ROUND(O46*(1-P46),2))</f>
        <v/>
      </c>
      <c r="R46" s="3">
        <f>IF($A46="","",IF(Q46&gt;=参数配置!$B$12,"极高",IF(Q46&gt;=参数配置!$B$13,"高",IF(Q46&gt;=参数配置!$B$14,"中",IF(Q46&gt;=参数配置!$B$15,"低","极低")))))</f>
        <v/>
      </c>
      <c r="S46" s="3">
        <f>IF($A46="","",ROUND(M46,0))</f>
        <v/>
      </c>
      <c r="T46" s="3">
        <f>IF($A46="","",ROUND(N46,0))</f>
        <v/>
      </c>
      <c r="U46" s="3">
        <f>IF($A46="","",IF(R46="极高","每年必审",IF(R46="高","每年审计",IF(R46="中","两年一轮","按需抽查"))))</f>
        <v/>
      </c>
      <c r="V46" s="21">
        <f>IF($A46="","",IF(N46=0,"",(N46-Q46)/N46))</f>
        <v/>
      </c>
      <c r="W46" s="19" t="inlineStr">
        <is>
          <t>数据监管新规密集出台；行业 App 违规通报案例增多</t>
        </is>
      </c>
    </row>
    <row r="47">
      <c r="A47" s="19" t="inlineStr">
        <is>
          <t>R022</t>
        </is>
      </c>
      <c r="B47" s="19" t="inlineStr">
        <is>
          <t>数据合规与个人信息保护</t>
        </is>
      </c>
      <c r="C47" s="19" t="inlineStr">
        <is>
          <t>合规与法律</t>
        </is>
      </c>
      <c r="D47" s="19" t="inlineStr">
        <is>
          <t>个人信息处理与数据出境不合规，面临监管处罚</t>
        </is>
      </c>
      <c r="E47" s="19" t="inlineStr">
        <is>
          <t>法务部</t>
        </is>
      </c>
      <c r="F47" s="19" t="inlineStr">
        <is>
          <t>2026H1</t>
        </is>
      </c>
      <c r="G47" s="6" t="n">
        <v>3</v>
      </c>
      <c r="H47" s="6" t="n">
        <v>3</v>
      </c>
      <c r="I47" s="6" t="n">
        <v>5</v>
      </c>
      <c r="J47" s="6" t="n">
        <v>3</v>
      </c>
      <c r="K47" s="6" t="n">
        <v>4</v>
      </c>
      <c r="L47" s="6" t="n">
        <v>1</v>
      </c>
      <c r="M47" s="20">
        <f>IF($A47="","",ROUND(MAX(SUMPRODUCT(H47:L47,IFERROR(VLOOKUP($C47,参数配置!$A$26:$F$38,{2,3,4,5,6},FALSE),VLOOKUP(参数配置!$A$26,参数配置!$A$26:$F$38,{2,3,4,5,6},FALSE))),参数配置!$E$13*MAX(H47:L47)),2))</f>
        <v/>
      </c>
      <c r="N47" s="20">
        <f>IF($A47="","",ROUND(G47*M47,2))</f>
        <v/>
      </c>
      <c r="O47" s="3">
        <f>IF($A47="","",IF(COUNTIFS(控制措施表!$B:$B,$A47,控制措施表!$C:$C,$F47,控制措施表!$F:$F,"是")=0,IF(COUNTIFS(控制措施表!$B:$B,$A47,控制措施表!$C:$C,$F47)=0,"",MINIFS(控制措施表!$E:$E,控制措施表!$B:$B,$A47,控制措施表!$C:$C,$F47)),MINIFS(控制措施表!$E:$E,控制措施表!$B:$B,$A47,控制措施表!$C:$C,$F47,控制措施表!$F:$F,"是")))</f>
        <v/>
      </c>
      <c r="P47" s="21">
        <f>IF($A47="","",IF(N47="",0,VLOOKUP(N47,参数配置!$D$4:$E$8,2,FALSE)))</f>
        <v/>
      </c>
      <c r="Q47" s="20">
        <f>IF($A47="","",ROUND(O47*(1-P47),2))</f>
        <v/>
      </c>
      <c r="R47" s="3">
        <f>IF($A47="","",IF(Q47&gt;=参数配置!$B$12,"极高",IF(Q47&gt;=参数配置!$B$13,"高",IF(Q47&gt;=参数配置!$B$14,"中",IF(Q47&gt;=参数配置!$B$15,"低","极低")))))</f>
        <v/>
      </c>
      <c r="S47" s="3">
        <f>IF($A47="","",ROUND(M47,0))</f>
        <v/>
      </c>
      <c r="T47" s="3">
        <f>IF($A47="","",ROUND(N47,0))</f>
        <v/>
      </c>
      <c r="U47" s="3">
        <f>IF($A47="","",IF(R47="极高","每年必审",IF(R47="高","每年审计",IF(R47="中","两年一轮","按需抽查"))))</f>
        <v/>
      </c>
      <c r="V47" s="21">
        <f>IF($A47="","",IF(N47=0,"",(N47-Q47)/N47))</f>
        <v/>
      </c>
      <c r="W47" s="19" t="inlineStr">
        <is>
          <t>数据监管新规密集出台；行业 App 违规通报案例增多</t>
        </is>
      </c>
    </row>
    <row r="48">
      <c r="A48" s="19" t="inlineStr">
        <is>
          <t>R023</t>
        </is>
      </c>
      <c r="B48" s="19" t="inlineStr">
        <is>
          <t>环保设施运行与排放达标</t>
        </is>
      </c>
      <c r="C48" s="19" t="inlineStr">
        <is>
          <t>安全环保</t>
        </is>
      </c>
      <c r="D48" s="19" t="inlineStr">
        <is>
          <t>环保设施运行不稳定，排放超标引发处罚与限产</t>
        </is>
      </c>
      <c r="E48" s="19" t="inlineStr">
        <is>
          <t>安监部</t>
        </is>
      </c>
      <c r="F48" s="19" t="inlineStr">
        <is>
          <t>2025H2</t>
        </is>
      </c>
      <c r="G48" s="6" t="n">
        <v>3</v>
      </c>
      <c r="H48" s="6" t="n">
        <v>4</v>
      </c>
      <c r="I48" s="6" t="n">
        <v>5</v>
      </c>
      <c r="J48" s="6" t="n">
        <v>4</v>
      </c>
      <c r="K48" s="6" t="n">
        <v>4</v>
      </c>
      <c r="L48" s="6" t="n">
        <v>1</v>
      </c>
      <c r="M48" s="20">
        <f>IF($A48="","",ROUND(MAX(SUMPRODUCT(H48:L48,IFERROR(VLOOKUP($C48,参数配置!$A$26:$F$38,{2,3,4,5,6},FALSE),VLOOKUP(参数配置!$A$26,参数配置!$A$26:$F$38,{2,3,4,5,6},FALSE))),参数配置!$E$13*MAX(H48:L48)),2))</f>
        <v/>
      </c>
      <c r="N48" s="20">
        <f>IF($A48="","",ROUND(G48*M48,2))</f>
        <v/>
      </c>
      <c r="O48" s="3">
        <f>IF($A48="","",IF(COUNTIFS(控制措施表!$B:$B,$A48,控制措施表!$C:$C,$F48,控制措施表!$F:$F,"是")=0,IF(COUNTIFS(控制措施表!$B:$B,$A48,控制措施表!$C:$C,$F48)=0,"",MINIFS(控制措施表!$E:$E,控制措施表!$B:$B,$A48,控制措施表!$C:$C,$F48)),MINIFS(控制措施表!$E:$E,控制措施表!$B:$B,$A48,控制措施表!$C:$C,$F48,控制措施表!$F:$F,"是")))</f>
        <v/>
      </c>
      <c r="P48" s="21">
        <f>IF($A48="","",IF(N48="",0,VLOOKUP(N48,参数配置!$D$4:$E$8,2,FALSE)))</f>
        <v/>
      </c>
      <c r="Q48" s="20">
        <f>IF($A48="","",ROUND(O48*(1-P48),2))</f>
        <v/>
      </c>
      <c r="R48" s="3">
        <f>IF($A48="","",IF(Q48&gt;=参数配置!$B$12,"极高",IF(Q48&gt;=参数配置!$B$13,"高",IF(Q48&gt;=参数配置!$B$14,"中",IF(Q48&gt;=参数配置!$B$15,"低","极低")))))</f>
        <v/>
      </c>
      <c r="S48" s="3">
        <f>IF($A48="","",ROUND(M48,0))</f>
        <v/>
      </c>
      <c r="T48" s="3">
        <f>IF($A48="","",ROUND(N48,0))</f>
        <v/>
      </c>
      <c r="U48" s="3">
        <f>IF($A48="","",IF(R48="极高","每年必审",IF(R48="高","每年审计",IF(R48="中","两年一轮","按需抽查"))))</f>
        <v/>
      </c>
      <c r="V48" s="21">
        <f>IF($A48="","",IF(N48=0,"",(N48-Q48)/N48))</f>
        <v/>
      </c>
      <c r="W48" s="19" t="inlineStr">
        <is>
          <t>上年度环保在线监测数据 2 次异常；未发生处罚</t>
        </is>
      </c>
    </row>
    <row r="49">
      <c r="A49" s="19" t="inlineStr">
        <is>
          <t>R023</t>
        </is>
      </c>
      <c r="B49" s="19" t="inlineStr">
        <is>
          <t>环保设施运行与排放达标</t>
        </is>
      </c>
      <c r="C49" s="19" t="inlineStr">
        <is>
          <t>安全环保</t>
        </is>
      </c>
      <c r="D49" s="19" t="inlineStr">
        <is>
          <t>环保设施运行不稳定，排放超标引发处罚与限产</t>
        </is>
      </c>
      <c r="E49" s="19" t="inlineStr">
        <is>
          <t>安监部</t>
        </is>
      </c>
      <c r="F49" s="19" t="inlineStr">
        <is>
          <t>2026H1</t>
        </is>
      </c>
      <c r="G49" s="6" t="n">
        <v>2</v>
      </c>
      <c r="H49" s="6" t="n">
        <v>4</v>
      </c>
      <c r="I49" s="6" t="n">
        <v>5</v>
      </c>
      <c r="J49" s="6" t="n">
        <v>4</v>
      </c>
      <c r="K49" s="6" t="n">
        <v>4</v>
      </c>
      <c r="L49" s="6" t="n">
        <v>1</v>
      </c>
      <c r="M49" s="20">
        <f>IF($A49="","",ROUND(MAX(SUMPRODUCT(H49:L49,IFERROR(VLOOKUP($C49,参数配置!$A$26:$F$38,{2,3,4,5,6},FALSE),VLOOKUP(参数配置!$A$26,参数配置!$A$26:$F$38,{2,3,4,5,6},FALSE))),参数配置!$E$13*MAX(H49:L49)),2))</f>
        <v/>
      </c>
      <c r="N49" s="20">
        <f>IF($A49="","",ROUND(G49*M49,2))</f>
        <v/>
      </c>
      <c r="O49" s="3">
        <f>IF($A49="","",IF(COUNTIFS(控制措施表!$B:$B,$A49,控制措施表!$C:$C,$F49,控制措施表!$F:$F,"是")=0,IF(COUNTIFS(控制措施表!$B:$B,$A49,控制措施表!$C:$C,$F49)=0,"",MINIFS(控制措施表!$E:$E,控制措施表!$B:$B,$A49,控制措施表!$C:$C,$F49)),MINIFS(控制措施表!$E:$E,控制措施表!$B:$B,$A49,控制措施表!$C:$C,$F49,控制措施表!$F:$F,"是")))</f>
        <v/>
      </c>
      <c r="P49" s="21">
        <f>IF($A49="","",IF(N49="",0,VLOOKUP(N49,参数配置!$D$4:$E$8,2,FALSE)))</f>
        <v/>
      </c>
      <c r="Q49" s="20">
        <f>IF($A49="","",ROUND(O49*(1-P49),2))</f>
        <v/>
      </c>
      <c r="R49" s="3">
        <f>IF($A49="","",IF(Q49&gt;=参数配置!$B$12,"极高",IF(Q49&gt;=参数配置!$B$13,"高",IF(Q49&gt;=参数配置!$B$14,"中",IF(Q49&gt;=参数配置!$B$15,"低","极低")))))</f>
        <v/>
      </c>
      <c r="S49" s="3">
        <f>IF($A49="","",ROUND(M49,0))</f>
        <v/>
      </c>
      <c r="T49" s="3">
        <f>IF($A49="","",ROUND(N49,0))</f>
        <v/>
      </c>
      <c r="U49" s="3">
        <f>IF($A49="","",IF(R49="极高","每年必审",IF(R49="高","每年审计",IF(R49="中","两年一轮","按需抽查"))))</f>
        <v/>
      </c>
      <c r="V49" s="21">
        <f>IF($A49="","",IF(N49=0,"",(N49-Q49)/N49))</f>
        <v/>
      </c>
      <c r="W49" s="19" t="inlineStr">
        <is>
          <t>上年度环保在线监测数据 2 次异常；未发生处罚</t>
        </is>
      </c>
    </row>
    <row r="50">
      <c r="A50" s="19" t="inlineStr">
        <is>
          <t>R024</t>
        </is>
      </c>
      <c r="B50" s="19" t="inlineStr">
        <is>
          <t>银行账户与票据管理</t>
        </is>
      </c>
      <c r="C50" s="19" t="inlineStr">
        <is>
          <t>资金活动</t>
        </is>
      </c>
      <c r="D50" s="19" t="inlineStr">
        <is>
          <t>账户开立失控、票据审核不严，存在欺诈损失风险</t>
        </is>
      </c>
      <c r="E50" s="19" t="inlineStr">
        <is>
          <t>财务部</t>
        </is>
      </c>
      <c r="F50" s="19" t="inlineStr">
        <is>
          <t>2025H2</t>
        </is>
      </c>
      <c r="G50" s="6" t="n">
        <v>3</v>
      </c>
      <c r="H50" s="6" t="n">
        <v>4</v>
      </c>
      <c r="I50" s="6" t="n">
        <v>3</v>
      </c>
      <c r="J50" s="6" t="n">
        <v>3</v>
      </c>
      <c r="K50" s="6" t="n">
        <v>3</v>
      </c>
      <c r="L50" s="6" t="n">
        <v>4</v>
      </c>
      <c r="M50" s="20">
        <f>IF($A50="","",ROUND(MAX(SUMPRODUCT(H50:L50,IFERROR(VLOOKUP($C50,参数配置!$A$26:$F$38,{2,3,4,5,6},FALSE),VLOOKUP(参数配置!$A$26,参数配置!$A$26:$F$38,{2,3,4,5,6},FALSE))),参数配置!$E$13*MAX(H50:L50)),2))</f>
        <v/>
      </c>
      <c r="N50" s="20">
        <f>IF($A50="","",ROUND(G50*M50,2))</f>
        <v/>
      </c>
      <c r="O50" s="3">
        <f>IF($A50="","",IF(COUNTIFS(控制措施表!$B:$B,$A50,控制措施表!$C:$C,$F50,控制措施表!$F:$F,"是")=0,IF(COUNTIFS(控制措施表!$B:$B,$A50,控制措施表!$C:$C,$F50)=0,"",MINIFS(控制措施表!$E:$E,控制措施表!$B:$B,$A50,控制措施表!$C:$C,$F50)),MINIFS(控制措施表!$E:$E,控制措施表!$B:$B,$A50,控制措施表!$C:$C,$F50,控制措施表!$F:$F,"是")))</f>
        <v/>
      </c>
      <c r="P50" s="21">
        <f>IF($A50="","",IF(N50="",0,VLOOKUP(N50,参数配置!$D$4:$E$8,2,FALSE)))</f>
        <v/>
      </c>
      <c r="Q50" s="20">
        <f>IF($A50="","",ROUND(O50*(1-P50),2))</f>
        <v/>
      </c>
      <c r="R50" s="3">
        <f>IF($A50="","",IF(Q50&gt;=参数配置!$B$12,"极高",IF(Q50&gt;=参数配置!$B$13,"高",IF(Q50&gt;=参数配置!$B$14,"中",IF(Q50&gt;=参数配置!$B$15,"低","极低")))))</f>
        <v/>
      </c>
      <c r="S50" s="3">
        <f>IF($A50="","",ROUND(M50,0))</f>
        <v/>
      </c>
      <c r="T50" s="3">
        <f>IF($A50="","",ROUND(N50,0))</f>
        <v/>
      </c>
      <c r="U50" s="3">
        <f>IF($A50="","",IF(R50="极高","每年必审",IF(R50="高","每年审计",IF(R50="中","两年一轮","按需抽查"))))</f>
        <v/>
      </c>
      <c r="V50" s="21">
        <f>IF($A50="","",IF(N50=0,"",(N50-Q50)/N50))</f>
        <v/>
      </c>
      <c r="W50" s="19" t="inlineStr">
        <is>
          <t>账户年检完成率 100%；票据背书抽查发现 1 处瑕疵</t>
        </is>
      </c>
    </row>
    <row r="51">
      <c r="A51" s="19" t="inlineStr">
        <is>
          <t>R024</t>
        </is>
      </c>
      <c r="B51" s="19" t="inlineStr">
        <is>
          <t>银行账户与票据管理</t>
        </is>
      </c>
      <c r="C51" s="19" t="inlineStr">
        <is>
          <t>资金活动</t>
        </is>
      </c>
      <c r="D51" s="19" t="inlineStr">
        <is>
          <t>账户开立失控、票据审核不严，存在欺诈损失风险</t>
        </is>
      </c>
      <c r="E51" s="19" t="inlineStr">
        <is>
          <t>财务部</t>
        </is>
      </c>
      <c r="F51" s="19" t="inlineStr">
        <is>
          <t>2026H1</t>
        </is>
      </c>
      <c r="G51" s="6" t="n">
        <v>3</v>
      </c>
      <c r="H51" s="6" t="n">
        <v>4</v>
      </c>
      <c r="I51" s="6" t="n">
        <v>3</v>
      </c>
      <c r="J51" s="6" t="n">
        <v>3</v>
      </c>
      <c r="K51" s="6" t="n">
        <v>2</v>
      </c>
      <c r="L51" s="6" t="n">
        <v>4</v>
      </c>
      <c r="M51" s="20">
        <f>IF($A51="","",ROUND(MAX(SUMPRODUCT(H51:L51,IFERROR(VLOOKUP($C51,参数配置!$A$26:$F$38,{2,3,4,5,6},FALSE),VLOOKUP(参数配置!$A$26,参数配置!$A$26:$F$38,{2,3,4,5,6},FALSE))),参数配置!$E$13*MAX(H51:L51)),2))</f>
        <v/>
      </c>
      <c r="N51" s="20">
        <f>IF($A51="","",ROUND(G51*M51,2))</f>
        <v/>
      </c>
      <c r="O51" s="3">
        <f>IF($A51="","",IF(COUNTIFS(控制措施表!$B:$B,$A51,控制措施表!$C:$C,$F51,控制措施表!$F:$F,"是")=0,IF(COUNTIFS(控制措施表!$B:$B,$A51,控制措施表!$C:$C,$F51)=0,"",MINIFS(控制措施表!$E:$E,控制措施表!$B:$B,$A51,控制措施表!$C:$C,$F51)),MINIFS(控制措施表!$E:$E,控制措施表!$B:$B,$A51,控制措施表!$C:$C,$F51,控制措施表!$F:$F,"是")))</f>
        <v/>
      </c>
      <c r="P51" s="21">
        <f>IF($A51="","",IF(N51="",0,VLOOKUP(N51,参数配置!$D$4:$E$8,2,FALSE)))</f>
        <v/>
      </c>
      <c r="Q51" s="20">
        <f>IF($A51="","",ROUND(O51*(1-P51),2))</f>
        <v/>
      </c>
      <c r="R51" s="3">
        <f>IF($A51="","",IF(Q51&gt;=参数配置!$B$12,"极高",IF(Q51&gt;=参数配置!$B$13,"高",IF(Q51&gt;=参数配置!$B$14,"中",IF(Q51&gt;=参数配置!$B$15,"低","极低")))))</f>
        <v/>
      </c>
      <c r="S51" s="3">
        <f>IF($A51="","",ROUND(M51,0))</f>
        <v/>
      </c>
      <c r="T51" s="3">
        <f>IF($A51="","",ROUND(N51,0))</f>
        <v/>
      </c>
      <c r="U51" s="3">
        <f>IF($A51="","",IF(R51="极高","每年必审",IF(R51="高","每年审计",IF(R51="中","两年一轮","按需抽查"))))</f>
        <v/>
      </c>
      <c r="V51" s="21">
        <f>IF($A51="","",IF(N51=0,"",(N51-Q51)/N51))</f>
        <v/>
      </c>
      <c r="W51" s="19" t="inlineStr">
        <is>
          <t>账户年检完成率 100%；票据背书抽查发现 1 处瑕疵</t>
        </is>
      </c>
    </row>
    <row r="52">
      <c r="M52" s="20">
        <f>IF($A52="","",ROUND(MAX(SUMPRODUCT(H52:L52,IFERROR(VLOOKUP($C52,参数配置!$A$26:$F$38,{2,3,4,5,6},FALSE),VLOOKUP(参数配置!$A$26,参数配置!$A$26:$F$38,{2,3,4,5,6},FALSE))),参数配置!$E$13*MAX(H52:L52)),2))</f>
        <v/>
      </c>
      <c r="N52" s="20">
        <f>IF($A52="","",ROUND(G52*M52,2))</f>
        <v/>
      </c>
      <c r="O52" s="3">
        <f>IF($A52="","",IF(COUNTIFS(控制措施表!$B:$B,$A52,控制措施表!$C:$C,$F52,控制措施表!$F:$F,"是")=0,IF(COUNTIFS(控制措施表!$B:$B,$A52,控制措施表!$C:$C,$F52)=0,"",MINIFS(控制措施表!$E:$E,控制措施表!$B:$B,$A52,控制措施表!$C:$C,$F52)),MINIFS(控制措施表!$E:$E,控制措施表!$B:$B,$A52,控制措施表!$C:$C,$F52,控制措施表!$F:$F,"是")))</f>
        <v/>
      </c>
      <c r="P52" s="21">
        <f>IF($A52="","",IF(N52="",0,VLOOKUP(N52,参数配置!$D$4:$E$8,2,FALSE)))</f>
        <v/>
      </c>
      <c r="Q52" s="20">
        <f>IF($A52="","",ROUND(O52*(1-P52),2))</f>
        <v/>
      </c>
      <c r="R52" s="3">
        <f>IF($A52="","",IF(Q52&gt;=参数配置!$B$12,"极高",IF(Q52&gt;=参数配置!$B$13,"高",IF(Q52&gt;=参数配置!$B$14,"中",IF(Q52&gt;=参数配置!$B$15,"低","极低")))))</f>
        <v/>
      </c>
      <c r="S52" s="3">
        <f>IF($A52="","",ROUND(M52,0))</f>
        <v/>
      </c>
      <c r="T52" s="3">
        <f>IF($A52="","",ROUND(N52,0))</f>
        <v/>
      </c>
      <c r="U52" s="3">
        <f>IF($A52="","",IF(R52="极高","每年必审",IF(R52="高","每年审计",IF(R52="中","两年一轮","按需抽查"))))</f>
        <v/>
      </c>
      <c r="V52" s="21">
        <f>IF($A52="","",IF(N52=0,"",(N52-Q52)/N52))</f>
        <v/>
      </c>
    </row>
    <row r="53">
      <c r="M53" s="20">
        <f>IF($A53="","",ROUND(MAX(SUMPRODUCT(H53:L53,IFERROR(VLOOKUP($C53,参数配置!$A$26:$F$38,{2,3,4,5,6},FALSE),VLOOKUP(参数配置!$A$26,参数配置!$A$26:$F$38,{2,3,4,5,6},FALSE))),参数配置!$E$13*MAX(H53:L53)),2))</f>
        <v/>
      </c>
      <c r="N53" s="20">
        <f>IF($A53="","",ROUND(G53*M53,2))</f>
        <v/>
      </c>
      <c r="O53" s="3">
        <f>IF($A53="","",IF(COUNTIFS(控制措施表!$B:$B,$A53,控制措施表!$C:$C,$F53,控制措施表!$F:$F,"是")=0,IF(COUNTIFS(控制措施表!$B:$B,$A53,控制措施表!$C:$C,$F53)=0,"",MINIFS(控制措施表!$E:$E,控制措施表!$B:$B,$A53,控制措施表!$C:$C,$F53)),MINIFS(控制措施表!$E:$E,控制措施表!$B:$B,$A53,控制措施表!$C:$C,$F53,控制措施表!$F:$F,"是")))</f>
        <v/>
      </c>
      <c r="P53" s="21">
        <f>IF($A53="","",IF(N53="",0,VLOOKUP(N53,参数配置!$D$4:$E$8,2,FALSE)))</f>
        <v/>
      </c>
      <c r="Q53" s="20">
        <f>IF($A53="","",ROUND(O53*(1-P53),2))</f>
        <v/>
      </c>
      <c r="R53" s="3">
        <f>IF($A53="","",IF(Q53&gt;=参数配置!$B$12,"极高",IF(Q53&gt;=参数配置!$B$13,"高",IF(Q53&gt;=参数配置!$B$14,"中",IF(Q53&gt;=参数配置!$B$15,"低","极低")))))</f>
        <v/>
      </c>
      <c r="S53" s="3">
        <f>IF($A53="","",ROUND(M53,0))</f>
        <v/>
      </c>
      <c r="T53" s="3">
        <f>IF($A53="","",ROUND(N53,0))</f>
        <v/>
      </c>
      <c r="U53" s="3">
        <f>IF($A53="","",IF(R53="极高","每年必审",IF(R53="高","每年审计",IF(R53="中","两年一轮","按需抽查"))))</f>
        <v/>
      </c>
      <c r="V53" s="21">
        <f>IF($A53="","",IF(N53=0,"",(N53-Q53)/N53))</f>
        <v/>
      </c>
    </row>
    <row r="54">
      <c r="M54" s="20">
        <f>IF($A54="","",ROUND(MAX(SUMPRODUCT(H54:L54,IFERROR(VLOOKUP($C54,参数配置!$A$26:$F$38,{2,3,4,5,6},FALSE),VLOOKUP(参数配置!$A$26,参数配置!$A$26:$F$38,{2,3,4,5,6},FALSE))),参数配置!$E$13*MAX(H54:L54)),2))</f>
        <v/>
      </c>
      <c r="N54" s="20">
        <f>IF($A54="","",ROUND(G54*M54,2))</f>
        <v/>
      </c>
      <c r="O54" s="3">
        <f>IF($A54="","",IF(COUNTIFS(控制措施表!$B:$B,$A54,控制措施表!$C:$C,$F54,控制措施表!$F:$F,"是")=0,IF(COUNTIFS(控制措施表!$B:$B,$A54,控制措施表!$C:$C,$F54)=0,"",MINIFS(控制措施表!$E:$E,控制措施表!$B:$B,$A54,控制措施表!$C:$C,$F54)),MINIFS(控制措施表!$E:$E,控制措施表!$B:$B,$A54,控制措施表!$C:$C,$F54,控制措施表!$F:$F,"是")))</f>
        <v/>
      </c>
      <c r="P54" s="21">
        <f>IF($A54="","",IF(N54="",0,VLOOKUP(N54,参数配置!$D$4:$E$8,2,FALSE)))</f>
        <v/>
      </c>
      <c r="Q54" s="20">
        <f>IF($A54="","",ROUND(O54*(1-P54),2))</f>
        <v/>
      </c>
      <c r="R54" s="3">
        <f>IF($A54="","",IF(Q54&gt;=参数配置!$B$12,"极高",IF(Q54&gt;=参数配置!$B$13,"高",IF(Q54&gt;=参数配置!$B$14,"中",IF(Q54&gt;=参数配置!$B$15,"低","极低")))))</f>
        <v/>
      </c>
      <c r="S54" s="3">
        <f>IF($A54="","",ROUND(M54,0))</f>
        <v/>
      </c>
      <c r="T54" s="3">
        <f>IF($A54="","",ROUND(N54,0))</f>
        <v/>
      </c>
      <c r="U54" s="3">
        <f>IF($A54="","",IF(R54="极高","每年必审",IF(R54="高","每年审计",IF(R54="中","两年一轮","按需抽查"))))</f>
        <v/>
      </c>
      <c r="V54" s="21">
        <f>IF($A54="","",IF(N54=0,"",(N54-Q54)/N54))</f>
        <v/>
      </c>
    </row>
    <row r="55">
      <c r="M55" s="20">
        <f>IF($A55="","",ROUND(MAX(SUMPRODUCT(H55:L55,IFERROR(VLOOKUP($C55,参数配置!$A$26:$F$38,{2,3,4,5,6},FALSE),VLOOKUP(参数配置!$A$26,参数配置!$A$26:$F$38,{2,3,4,5,6},FALSE))),参数配置!$E$13*MAX(H55:L55)),2))</f>
        <v/>
      </c>
      <c r="N55" s="20">
        <f>IF($A55="","",ROUND(G55*M55,2))</f>
        <v/>
      </c>
      <c r="O55" s="3">
        <f>IF($A55="","",IF(COUNTIFS(控制措施表!$B:$B,$A55,控制措施表!$C:$C,$F55,控制措施表!$F:$F,"是")=0,IF(COUNTIFS(控制措施表!$B:$B,$A55,控制措施表!$C:$C,$F55)=0,"",MINIFS(控制措施表!$E:$E,控制措施表!$B:$B,$A55,控制措施表!$C:$C,$F55)),MINIFS(控制措施表!$E:$E,控制措施表!$B:$B,$A55,控制措施表!$C:$C,$F55,控制措施表!$F:$F,"是")))</f>
        <v/>
      </c>
      <c r="P55" s="21">
        <f>IF($A55="","",IF(N55="",0,VLOOKUP(N55,参数配置!$D$4:$E$8,2,FALSE)))</f>
        <v/>
      </c>
      <c r="Q55" s="20">
        <f>IF($A55="","",ROUND(O55*(1-P55),2))</f>
        <v/>
      </c>
      <c r="R55" s="3">
        <f>IF($A55="","",IF(Q55&gt;=参数配置!$B$12,"极高",IF(Q55&gt;=参数配置!$B$13,"高",IF(Q55&gt;=参数配置!$B$14,"中",IF(Q55&gt;=参数配置!$B$15,"低","极低")))))</f>
        <v/>
      </c>
      <c r="S55" s="3">
        <f>IF($A55="","",ROUND(M55,0))</f>
        <v/>
      </c>
      <c r="T55" s="3">
        <f>IF($A55="","",ROUND(N55,0))</f>
        <v/>
      </c>
      <c r="U55" s="3">
        <f>IF($A55="","",IF(R55="极高","每年必审",IF(R55="高","每年审计",IF(R55="中","两年一轮","按需抽查"))))</f>
        <v/>
      </c>
      <c r="V55" s="21">
        <f>IF($A55="","",IF(N55=0,"",(N55-Q55)/N55))</f>
        <v/>
      </c>
    </row>
    <row r="56">
      <c r="M56" s="20">
        <f>IF($A56="","",ROUND(MAX(SUMPRODUCT(H56:L56,IFERROR(VLOOKUP($C56,参数配置!$A$26:$F$38,{2,3,4,5,6},FALSE),VLOOKUP(参数配置!$A$26,参数配置!$A$26:$F$38,{2,3,4,5,6},FALSE))),参数配置!$E$13*MAX(H56:L56)),2))</f>
        <v/>
      </c>
      <c r="N56" s="20">
        <f>IF($A56="","",ROUND(G56*M56,2))</f>
        <v/>
      </c>
      <c r="O56" s="3">
        <f>IF($A56="","",IF(COUNTIFS(控制措施表!$B:$B,$A56,控制措施表!$C:$C,$F56,控制措施表!$F:$F,"是")=0,IF(COUNTIFS(控制措施表!$B:$B,$A56,控制措施表!$C:$C,$F56)=0,"",MINIFS(控制措施表!$E:$E,控制措施表!$B:$B,$A56,控制措施表!$C:$C,$F56)),MINIFS(控制措施表!$E:$E,控制措施表!$B:$B,$A56,控制措施表!$C:$C,$F56,控制措施表!$F:$F,"是")))</f>
        <v/>
      </c>
      <c r="P56" s="21">
        <f>IF($A56="","",IF(N56="",0,VLOOKUP(N56,参数配置!$D$4:$E$8,2,FALSE)))</f>
        <v/>
      </c>
      <c r="Q56" s="20">
        <f>IF($A56="","",ROUND(O56*(1-P56),2))</f>
        <v/>
      </c>
      <c r="R56" s="3">
        <f>IF($A56="","",IF(Q56&gt;=参数配置!$B$12,"极高",IF(Q56&gt;=参数配置!$B$13,"高",IF(Q56&gt;=参数配置!$B$14,"中",IF(Q56&gt;=参数配置!$B$15,"低","极低")))))</f>
        <v/>
      </c>
      <c r="S56" s="3">
        <f>IF($A56="","",ROUND(M56,0))</f>
        <v/>
      </c>
      <c r="T56" s="3">
        <f>IF($A56="","",ROUND(N56,0))</f>
        <v/>
      </c>
      <c r="U56" s="3">
        <f>IF($A56="","",IF(R56="极高","每年必审",IF(R56="高","每年审计",IF(R56="中","两年一轮","按需抽查"))))</f>
        <v/>
      </c>
      <c r="V56" s="21">
        <f>IF($A56="","",IF(N56=0,"",(N56-Q56)/N56))</f>
        <v/>
      </c>
    </row>
    <row r="57">
      <c r="M57" s="20">
        <f>IF($A57="","",ROUND(MAX(SUMPRODUCT(H57:L57,IFERROR(VLOOKUP($C57,参数配置!$A$26:$F$38,{2,3,4,5,6},FALSE),VLOOKUP(参数配置!$A$26,参数配置!$A$26:$F$38,{2,3,4,5,6},FALSE))),参数配置!$E$13*MAX(H57:L57)),2))</f>
        <v/>
      </c>
      <c r="N57" s="20">
        <f>IF($A57="","",ROUND(G57*M57,2))</f>
        <v/>
      </c>
      <c r="O57" s="3">
        <f>IF($A57="","",IF(COUNTIFS(控制措施表!$B:$B,$A57,控制措施表!$C:$C,$F57,控制措施表!$F:$F,"是")=0,IF(COUNTIFS(控制措施表!$B:$B,$A57,控制措施表!$C:$C,$F57)=0,"",MINIFS(控制措施表!$E:$E,控制措施表!$B:$B,$A57,控制措施表!$C:$C,$F57)),MINIFS(控制措施表!$E:$E,控制措施表!$B:$B,$A57,控制措施表!$C:$C,$F57,控制措施表!$F:$F,"是")))</f>
        <v/>
      </c>
      <c r="P57" s="21">
        <f>IF($A57="","",IF(N57="",0,VLOOKUP(N57,参数配置!$D$4:$E$8,2,FALSE)))</f>
        <v/>
      </c>
      <c r="Q57" s="20">
        <f>IF($A57="","",ROUND(O57*(1-P57),2))</f>
        <v/>
      </c>
      <c r="R57" s="3">
        <f>IF($A57="","",IF(Q57&gt;=参数配置!$B$12,"极高",IF(Q57&gt;=参数配置!$B$13,"高",IF(Q57&gt;=参数配置!$B$14,"中",IF(Q57&gt;=参数配置!$B$15,"低","极低")))))</f>
        <v/>
      </c>
      <c r="S57" s="3">
        <f>IF($A57="","",ROUND(M57,0))</f>
        <v/>
      </c>
      <c r="T57" s="3">
        <f>IF($A57="","",ROUND(N57,0))</f>
        <v/>
      </c>
      <c r="U57" s="3">
        <f>IF($A57="","",IF(R57="极高","每年必审",IF(R57="高","每年审计",IF(R57="中","两年一轮","按需抽查"))))</f>
        <v/>
      </c>
      <c r="V57" s="21">
        <f>IF($A57="","",IF(N57=0,"",(N57-Q57)/N57))</f>
        <v/>
      </c>
    </row>
    <row r="58">
      <c r="M58" s="20">
        <f>IF($A58="","",ROUND(MAX(SUMPRODUCT(H58:L58,IFERROR(VLOOKUP($C58,参数配置!$A$26:$F$38,{2,3,4,5,6},FALSE),VLOOKUP(参数配置!$A$26,参数配置!$A$26:$F$38,{2,3,4,5,6},FALSE))),参数配置!$E$13*MAX(H58:L58)),2))</f>
        <v/>
      </c>
      <c r="N58" s="20">
        <f>IF($A58="","",ROUND(G58*M58,2))</f>
        <v/>
      </c>
      <c r="O58" s="3">
        <f>IF($A58="","",IF(COUNTIFS(控制措施表!$B:$B,$A58,控制措施表!$C:$C,$F58,控制措施表!$F:$F,"是")=0,IF(COUNTIFS(控制措施表!$B:$B,$A58,控制措施表!$C:$C,$F58)=0,"",MINIFS(控制措施表!$E:$E,控制措施表!$B:$B,$A58,控制措施表!$C:$C,$F58)),MINIFS(控制措施表!$E:$E,控制措施表!$B:$B,$A58,控制措施表!$C:$C,$F58,控制措施表!$F:$F,"是")))</f>
        <v/>
      </c>
      <c r="P58" s="21">
        <f>IF($A58="","",IF(N58="",0,VLOOKUP(N58,参数配置!$D$4:$E$8,2,FALSE)))</f>
        <v/>
      </c>
      <c r="Q58" s="20">
        <f>IF($A58="","",ROUND(O58*(1-P58),2))</f>
        <v/>
      </c>
      <c r="R58" s="3">
        <f>IF($A58="","",IF(Q58&gt;=参数配置!$B$12,"极高",IF(Q58&gt;=参数配置!$B$13,"高",IF(Q58&gt;=参数配置!$B$14,"中",IF(Q58&gt;=参数配置!$B$15,"低","极低")))))</f>
        <v/>
      </c>
      <c r="S58" s="3">
        <f>IF($A58="","",ROUND(M58,0))</f>
        <v/>
      </c>
      <c r="T58" s="3">
        <f>IF($A58="","",ROUND(N58,0))</f>
        <v/>
      </c>
      <c r="U58" s="3">
        <f>IF($A58="","",IF(R58="极高","每年必审",IF(R58="高","每年审计",IF(R58="中","两年一轮","按需抽查"))))</f>
        <v/>
      </c>
      <c r="V58" s="21">
        <f>IF($A58="","",IF(N58=0,"",(N58-Q58)/N58))</f>
        <v/>
      </c>
    </row>
    <row r="59">
      <c r="M59" s="20">
        <f>IF($A59="","",ROUND(MAX(SUMPRODUCT(H59:L59,IFERROR(VLOOKUP($C59,参数配置!$A$26:$F$38,{2,3,4,5,6},FALSE),VLOOKUP(参数配置!$A$26,参数配置!$A$26:$F$38,{2,3,4,5,6},FALSE))),参数配置!$E$13*MAX(H59:L59)),2))</f>
        <v/>
      </c>
      <c r="N59" s="20">
        <f>IF($A59="","",ROUND(G59*M59,2))</f>
        <v/>
      </c>
      <c r="O59" s="3">
        <f>IF($A59="","",IF(COUNTIFS(控制措施表!$B:$B,$A59,控制措施表!$C:$C,$F59,控制措施表!$F:$F,"是")=0,IF(COUNTIFS(控制措施表!$B:$B,$A59,控制措施表!$C:$C,$F59)=0,"",MINIFS(控制措施表!$E:$E,控制措施表!$B:$B,$A59,控制措施表!$C:$C,$F59)),MINIFS(控制措施表!$E:$E,控制措施表!$B:$B,$A59,控制措施表!$C:$C,$F59,控制措施表!$F:$F,"是")))</f>
        <v/>
      </c>
      <c r="P59" s="21">
        <f>IF($A59="","",IF(N59="",0,VLOOKUP(N59,参数配置!$D$4:$E$8,2,FALSE)))</f>
        <v/>
      </c>
      <c r="Q59" s="20">
        <f>IF($A59="","",ROUND(O59*(1-P59),2))</f>
        <v/>
      </c>
      <c r="R59" s="3">
        <f>IF($A59="","",IF(Q59&gt;=参数配置!$B$12,"极高",IF(Q59&gt;=参数配置!$B$13,"高",IF(Q59&gt;=参数配置!$B$14,"中",IF(Q59&gt;=参数配置!$B$15,"低","极低")))))</f>
        <v/>
      </c>
      <c r="S59" s="3">
        <f>IF($A59="","",ROUND(M59,0))</f>
        <v/>
      </c>
      <c r="T59" s="3">
        <f>IF($A59="","",ROUND(N59,0))</f>
        <v/>
      </c>
      <c r="U59" s="3">
        <f>IF($A59="","",IF(R59="极高","每年必审",IF(R59="高","每年审计",IF(R59="中","两年一轮","按需抽查"))))</f>
        <v/>
      </c>
      <c r="V59" s="21">
        <f>IF($A59="","",IF(N59=0,"",(N59-Q59)/N59))</f>
        <v/>
      </c>
    </row>
    <row r="60">
      <c r="M60" s="20">
        <f>IF($A60="","",ROUND(MAX(SUMPRODUCT(H60:L60,IFERROR(VLOOKUP($C60,参数配置!$A$26:$F$38,{2,3,4,5,6},FALSE),VLOOKUP(参数配置!$A$26,参数配置!$A$26:$F$38,{2,3,4,5,6},FALSE))),参数配置!$E$13*MAX(H60:L60)),2))</f>
        <v/>
      </c>
      <c r="N60" s="20">
        <f>IF($A60="","",ROUND(G60*M60,2))</f>
        <v/>
      </c>
      <c r="O60" s="3">
        <f>IF($A60="","",IF(COUNTIFS(控制措施表!$B:$B,$A60,控制措施表!$C:$C,$F60,控制措施表!$F:$F,"是")=0,IF(COUNTIFS(控制措施表!$B:$B,$A60,控制措施表!$C:$C,$F60)=0,"",MINIFS(控制措施表!$E:$E,控制措施表!$B:$B,$A60,控制措施表!$C:$C,$F60)),MINIFS(控制措施表!$E:$E,控制措施表!$B:$B,$A60,控制措施表!$C:$C,$F60,控制措施表!$F:$F,"是")))</f>
        <v/>
      </c>
      <c r="P60" s="21">
        <f>IF($A60="","",IF(N60="",0,VLOOKUP(N60,参数配置!$D$4:$E$8,2,FALSE)))</f>
        <v/>
      </c>
      <c r="Q60" s="20">
        <f>IF($A60="","",ROUND(O60*(1-P60),2))</f>
        <v/>
      </c>
      <c r="R60" s="3">
        <f>IF($A60="","",IF(Q60&gt;=参数配置!$B$12,"极高",IF(Q60&gt;=参数配置!$B$13,"高",IF(Q60&gt;=参数配置!$B$14,"中",IF(Q60&gt;=参数配置!$B$15,"低","极低")))))</f>
        <v/>
      </c>
      <c r="S60" s="3">
        <f>IF($A60="","",ROUND(M60,0))</f>
        <v/>
      </c>
      <c r="T60" s="3">
        <f>IF($A60="","",ROUND(N60,0))</f>
        <v/>
      </c>
      <c r="U60" s="3">
        <f>IF($A60="","",IF(R60="极高","每年必审",IF(R60="高","每年审计",IF(R60="中","两年一轮","按需抽查"))))</f>
        <v/>
      </c>
      <c r="V60" s="21">
        <f>IF($A60="","",IF(N60=0,"",(N60-Q60)/N60))</f>
        <v/>
      </c>
    </row>
    <row r="61">
      <c r="M61" s="20">
        <f>IF($A61="","",ROUND(MAX(SUMPRODUCT(H61:L61,IFERROR(VLOOKUP($C61,参数配置!$A$26:$F$38,{2,3,4,5,6},FALSE),VLOOKUP(参数配置!$A$26,参数配置!$A$26:$F$38,{2,3,4,5,6},FALSE))),参数配置!$E$13*MAX(H61:L61)),2))</f>
        <v/>
      </c>
      <c r="N61" s="20">
        <f>IF($A61="","",ROUND(G61*M61,2))</f>
        <v/>
      </c>
      <c r="O61" s="3">
        <f>IF($A61="","",IF(COUNTIFS(控制措施表!$B:$B,$A61,控制措施表!$C:$C,$F61,控制措施表!$F:$F,"是")=0,IF(COUNTIFS(控制措施表!$B:$B,$A61,控制措施表!$C:$C,$F61)=0,"",MINIFS(控制措施表!$E:$E,控制措施表!$B:$B,$A61,控制措施表!$C:$C,$F61)),MINIFS(控制措施表!$E:$E,控制措施表!$B:$B,$A61,控制措施表!$C:$C,$F61,控制措施表!$F:$F,"是")))</f>
        <v/>
      </c>
      <c r="P61" s="21">
        <f>IF($A61="","",IF(N61="",0,VLOOKUP(N61,参数配置!$D$4:$E$8,2,FALSE)))</f>
        <v/>
      </c>
      <c r="Q61" s="20">
        <f>IF($A61="","",ROUND(O61*(1-P61),2))</f>
        <v/>
      </c>
      <c r="R61" s="3">
        <f>IF($A61="","",IF(Q61&gt;=参数配置!$B$12,"极高",IF(Q61&gt;=参数配置!$B$13,"高",IF(Q61&gt;=参数配置!$B$14,"中",IF(Q61&gt;=参数配置!$B$15,"低","极低")))))</f>
        <v/>
      </c>
      <c r="S61" s="3">
        <f>IF($A61="","",ROUND(M61,0))</f>
        <v/>
      </c>
      <c r="T61" s="3">
        <f>IF($A61="","",ROUND(N61,0))</f>
        <v/>
      </c>
      <c r="U61" s="3">
        <f>IF($A61="","",IF(R61="极高","每年必审",IF(R61="高","每年审计",IF(R61="中","两年一轮","按需抽查"))))</f>
        <v/>
      </c>
      <c r="V61" s="21">
        <f>IF($A61="","",IF(N61=0,"",(N61-Q61)/N61))</f>
        <v/>
      </c>
    </row>
    <row r="62">
      <c r="M62" s="20">
        <f>IF($A62="","",ROUND(MAX(SUMPRODUCT(H62:L62,IFERROR(VLOOKUP($C62,参数配置!$A$26:$F$38,{2,3,4,5,6},FALSE),VLOOKUP(参数配置!$A$26,参数配置!$A$26:$F$38,{2,3,4,5,6},FALSE))),参数配置!$E$13*MAX(H62:L62)),2))</f>
        <v/>
      </c>
      <c r="N62" s="20">
        <f>IF($A62="","",ROUND(G62*M62,2))</f>
        <v/>
      </c>
      <c r="O62" s="3">
        <f>IF($A62="","",IF(COUNTIFS(控制措施表!$B:$B,$A62,控制措施表!$C:$C,$F62,控制措施表!$F:$F,"是")=0,IF(COUNTIFS(控制措施表!$B:$B,$A62,控制措施表!$C:$C,$F62)=0,"",MINIFS(控制措施表!$E:$E,控制措施表!$B:$B,$A62,控制措施表!$C:$C,$F62)),MINIFS(控制措施表!$E:$E,控制措施表!$B:$B,$A62,控制措施表!$C:$C,$F62,控制措施表!$F:$F,"是")))</f>
        <v/>
      </c>
      <c r="P62" s="21">
        <f>IF($A62="","",IF(N62="",0,VLOOKUP(N62,参数配置!$D$4:$E$8,2,FALSE)))</f>
        <v/>
      </c>
      <c r="Q62" s="20">
        <f>IF($A62="","",ROUND(O62*(1-P62),2))</f>
        <v/>
      </c>
      <c r="R62" s="3">
        <f>IF($A62="","",IF(Q62&gt;=参数配置!$B$12,"极高",IF(Q62&gt;=参数配置!$B$13,"高",IF(Q62&gt;=参数配置!$B$14,"中",IF(Q62&gt;=参数配置!$B$15,"低","极低")))))</f>
        <v/>
      </c>
      <c r="S62" s="3">
        <f>IF($A62="","",ROUND(M62,0))</f>
        <v/>
      </c>
      <c r="T62" s="3">
        <f>IF($A62="","",ROUND(N62,0))</f>
        <v/>
      </c>
      <c r="U62" s="3">
        <f>IF($A62="","",IF(R62="极高","每年必审",IF(R62="高","每年审计",IF(R62="中","两年一轮","按需抽查"))))</f>
        <v/>
      </c>
      <c r="V62" s="21">
        <f>IF($A62="","",IF(N62=0,"",(N62-Q62)/N62))</f>
        <v/>
      </c>
    </row>
    <row r="63">
      <c r="M63" s="20">
        <f>IF($A63="","",ROUND(MAX(SUMPRODUCT(H63:L63,IFERROR(VLOOKUP($C63,参数配置!$A$26:$F$38,{2,3,4,5,6},FALSE),VLOOKUP(参数配置!$A$26,参数配置!$A$26:$F$38,{2,3,4,5,6},FALSE))),参数配置!$E$13*MAX(H63:L63)),2))</f>
        <v/>
      </c>
      <c r="N63" s="20">
        <f>IF($A63="","",ROUND(G63*M63,2))</f>
        <v/>
      </c>
      <c r="O63" s="3">
        <f>IF($A63="","",IF(COUNTIFS(控制措施表!$B:$B,$A63,控制措施表!$C:$C,$F63,控制措施表!$F:$F,"是")=0,IF(COUNTIFS(控制措施表!$B:$B,$A63,控制措施表!$C:$C,$F63)=0,"",MINIFS(控制措施表!$E:$E,控制措施表!$B:$B,$A63,控制措施表!$C:$C,$F63)),MINIFS(控制措施表!$E:$E,控制措施表!$B:$B,$A63,控制措施表!$C:$C,$F63,控制措施表!$F:$F,"是")))</f>
        <v/>
      </c>
      <c r="P63" s="21">
        <f>IF($A63="","",IF(N63="",0,VLOOKUP(N63,参数配置!$D$4:$E$8,2,FALSE)))</f>
        <v/>
      </c>
      <c r="Q63" s="20">
        <f>IF($A63="","",ROUND(O63*(1-P63),2))</f>
        <v/>
      </c>
      <c r="R63" s="3">
        <f>IF($A63="","",IF(Q63&gt;=参数配置!$B$12,"极高",IF(Q63&gt;=参数配置!$B$13,"高",IF(Q63&gt;=参数配置!$B$14,"中",IF(Q63&gt;=参数配置!$B$15,"低","极低")))))</f>
        <v/>
      </c>
      <c r="S63" s="3">
        <f>IF($A63="","",ROUND(M63,0))</f>
        <v/>
      </c>
      <c r="T63" s="3">
        <f>IF($A63="","",ROUND(N63,0))</f>
        <v/>
      </c>
      <c r="U63" s="3">
        <f>IF($A63="","",IF(R63="极高","每年必审",IF(R63="高","每年审计",IF(R63="中","两年一轮","按需抽查"))))</f>
        <v/>
      </c>
      <c r="V63" s="21">
        <f>IF($A63="","",IF(N63=0,"",(N63-Q63)/N63))</f>
        <v/>
      </c>
    </row>
    <row r="64">
      <c r="M64" s="20">
        <f>IF($A64="","",ROUND(MAX(SUMPRODUCT(H64:L64,IFERROR(VLOOKUP($C64,参数配置!$A$26:$F$38,{2,3,4,5,6},FALSE),VLOOKUP(参数配置!$A$26,参数配置!$A$26:$F$38,{2,3,4,5,6},FALSE))),参数配置!$E$13*MAX(H64:L64)),2))</f>
        <v/>
      </c>
      <c r="N64" s="20">
        <f>IF($A64="","",ROUND(G64*M64,2))</f>
        <v/>
      </c>
      <c r="O64" s="3">
        <f>IF($A64="","",IF(COUNTIFS(控制措施表!$B:$B,$A64,控制措施表!$C:$C,$F64,控制措施表!$F:$F,"是")=0,IF(COUNTIFS(控制措施表!$B:$B,$A64,控制措施表!$C:$C,$F64)=0,"",MINIFS(控制措施表!$E:$E,控制措施表!$B:$B,$A64,控制措施表!$C:$C,$F64)),MINIFS(控制措施表!$E:$E,控制措施表!$B:$B,$A64,控制措施表!$C:$C,$F64,控制措施表!$F:$F,"是")))</f>
        <v/>
      </c>
      <c r="P64" s="21">
        <f>IF($A64="","",IF(N64="",0,VLOOKUP(N64,参数配置!$D$4:$E$8,2,FALSE)))</f>
        <v/>
      </c>
      <c r="Q64" s="20">
        <f>IF($A64="","",ROUND(O64*(1-P64),2))</f>
        <v/>
      </c>
      <c r="R64" s="3">
        <f>IF($A64="","",IF(Q64&gt;=参数配置!$B$12,"极高",IF(Q64&gt;=参数配置!$B$13,"高",IF(Q64&gt;=参数配置!$B$14,"中",IF(Q64&gt;=参数配置!$B$15,"低","极低")))))</f>
        <v/>
      </c>
      <c r="S64" s="3">
        <f>IF($A64="","",ROUND(M64,0))</f>
        <v/>
      </c>
      <c r="T64" s="3">
        <f>IF($A64="","",ROUND(N64,0))</f>
        <v/>
      </c>
      <c r="U64" s="3">
        <f>IF($A64="","",IF(R64="极高","每年必审",IF(R64="高","每年审计",IF(R64="中","两年一轮","按需抽查"))))</f>
        <v/>
      </c>
      <c r="V64" s="21">
        <f>IF($A64="","",IF(N64=0,"",(N64-Q64)/N64))</f>
        <v/>
      </c>
    </row>
    <row r="65">
      <c r="M65" s="20">
        <f>IF($A65="","",ROUND(MAX(SUMPRODUCT(H65:L65,IFERROR(VLOOKUP($C65,参数配置!$A$26:$F$38,{2,3,4,5,6},FALSE),VLOOKUP(参数配置!$A$26,参数配置!$A$26:$F$38,{2,3,4,5,6},FALSE))),参数配置!$E$13*MAX(H65:L65)),2))</f>
        <v/>
      </c>
      <c r="N65" s="20">
        <f>IF($A65="","",ROUND(G65*M65,2))</f>
        <v/>
      </c>
      <c r="O65" s="3">
        <f>IF($A65="","",IF(COUNTIFS(控制措施表!$B:$B,$A65,控制措施表!$C:$C,$F65,控制措施表!$F:$F,"是")=0,IF(COUNTIFS(控制措施表!$B:$B,$A65,控制措施表!$C:$C,$F65)=0,"",MINIFS(控制措施表!$E:$E,控制措施表!$B:$B,$A65,控制措施表!$C:$C,$F65)),MINIFS(控制措施表!$E:$E,控制措施表!$B:$B,$A65,控制措施表!$C:$C,$F65,控制措施表!$F:$F,"是")))</f>
        <v/>
      </c>
      <c r="P65" s="21">
        <f>IF($A65="","",IF(N65="",0,VLOOKUP(N65,参数配置!$D$4:$E$8,2,FALSE)))</f>
        <v/>
      </c>
      <c r="Q65" s="20">
        <f>IF($A65="","",ROUND(O65*(1-P65),2))</f>
        <v/>
      </c>
      <c r="R65" s="3">
        <f>IF($A65="","",IF(Q65&gt;=参数配置!$B$12,"极高",IF(Q65&gt;=参数配置!$B$13,"高",IF(Q65&gt;=参数配置!$B$14,"中",IF(Q65&gt;=参数配置!$B$15,"低","极低")))))</f>
        <v/>
      </c>
      <c r="S65" s="3">
        <f>IF($A65="","",ROUND(M65,0))</f>
        <v/>
      </c>
      <c r="T65" s="3">
        <f>IF($A65="","",ROUND(N65,0))</f>
        <v/>
      </c>
      <c r="U65" s="3">
        <f>IF($A65="","",IF(R65="极高","每年必审",IF(R65="高","每年审计",IF(R65="中","两年一轮","按需抽查"))))</f>
        <v/>
      </c>
      <c r="V65" s="21">
        <f>IF($A65="","",IF(N65=0,"",(N65-Q65)/N65))</f>
        <v/>
      </c>
    </row>
    <row r="66">
      <c r="M66" s="20">
        <f>IF($A66="","",ROUND(MAX(SUMPRODUCT(H66:L66,IFERROR(VLOOKUP($C66,参数配置!$A$26:$F$38,{2,3,4,5,6},FALSE),VLOOKUP(参数配置!$A$26,参数配置!$A$26:$F$38,{2,3,4,5,6},FALSE))),参数配置!$E$13*MAX(H66:L66)),2))</f>
        <v/>
      </c>
      <c r="N66" s="20">
        <f>IF($A66="","",ROUND(G66*M66,2))</f>
        <v/>
      </c>
      <c r="O66" s="3">
        <f>IF($A66="","",IF(COUNTIFS(控制措施表!$B:$B,$A66,控制措施表!$C:$C,$F66,控制措施表!$F:$F,"是")=0,IF(COUNTIFS(控制措施表!$B:$B,$A66,控制措施表!$C:$C,$F66)=0,"",MINIFS(控制措施表!$E:$E,控制措施表!$B:$B,$A66,控制措施表!$C:$C,$F66)),MINIFS(控制措施表!$E:$E,控制措施表!$B:$B,$A66,控制措施表!$C:$C,$F66,控制措施表!$F:$F,"是")))</f>
        <v/>
      </c>
      <c r="P66" s="21">
        <f>IF($A66="","",IF(N66="",0,VLOOKUP(N66,参数配置!$D$4:$E$8,2,FALSE)))</f>
        <v/>
      </c>
      <c r="Q66" s="20">
        <f>IF($A66="","",ROUND(O66*(1-P66),2))</f>
        <v/>
      </c>
      <c r="R66" s="3">
        <f>IF($A66="","",IF(Q66&gt;=参数配置!$B$12,"极高",IF(Q66&gt;=参数配置!$B$13,"高",IF(Q66&gt;=参数配置!$B$14,"中",IF(Q66&gt;=参数配置!$B$15,"低","极低")))))</f>
        <v/>
      </c>
      <c r="S66" s="3">
        <f>IF($A66="","",ROUND(M66,0))</f>
        <v/>
      </c>
      <c r="T66" s="3">
        <f>IF($A66="","",ROUND(N66,0))</f>
        <v/>
      </c>
      <c r="U66" s="3">
        <f>IF($A66="","",IF(R66="极高","每年必审",IF(R66="高","每年审计",IF(R66="中","两年一轮","按需抽查"))))</f>
        <v/>
      </c>
      <c r="V66" s="21">
        <f>IF($A66="","",IF(N66=0,"",(N66-Q66)/N66))</f>
        <v/>
      </c>
    </row>
    <row r="67">
      <c r="M67" s="20">
        <f>IF($A67="","",ROUND(MAX(SUMPRODUCT(H67:L67,IFERROR(VLOOKUP($C67,参数配置!$A$26:$F$38,{2,3,4,5,6},FALSE),VLOOKUP(参数配置!$A$26,参数配置!$A$26:$F$38,{2,3,4,5,6},FALSE))),参数配置!$E$13*MAX(H67:L67)),2))</f>
        <v/>
      </c>
      <c r="N67" s="20">
        <f>IF($A67="","",ROUND(G67*M67,2))</f>
        <v/>
      </c>
      <c r="O67" s="3">
        <f>IF($A67="","",IF(COUNTIFS(控制措施表!$B:$B,$A67,控制措施表!$C:$C,$F67,控制措施表!$F:$F,"是")=0,IF(COUNTIFS(控制措施表!$B:$B,$A67,控制措施表!$C:$C,$F67)=0,"",MINIFS(控制措施表!$E:$E,控制措施表!$B:$B,$A67,控制措施表!$C:$C,$F67)),MINIFS(控制措施表!$E:$E,控制措施表!$B:$B,$A67,控制措施表!$C:$C,$F67,控制措施表!$F:$F,"是")))</f>
        <v/>
      </c>
      <c r="P67" s="21">
        <f>IF($A67="","",IF(N67="",0,VLOOKUP(N67,参数配置!$D$4:$E$8,2,FALSE)))</f>
        <v/>
      </c>
      <c r="Q67" s="20">
        <f>IF($A67="","",ROUND(O67*(1-P67),2))</f>
        <v/>
      </c>
      <c r="R67" s="3">
        <f>IF($A67="","",IF(Q67&gt;=参数配置!$B$12,"极高",IF(Q67&gt;=参数配置!$B$13,"高",IF(Q67&gt;=参数配置!$B$14,"中",IF(Q67&gt;=参数配置!$B$15,"低","极低")))))</f>
        <v/>
      </c>
      <c r="S67" s="3">
        <f>IF($A67="","",ROUND(M67,0))</f>
        <v/>
      </c>
      <c r="T67" s="3">
        <f>IF($A67="","",ROUND(N67,0))</f>
        <v/>
      </c>
      <c r="U67" s="3">
        <f>IF($A67="","",IF(R67="极高","每年必审",IF(R67="高","每年审计",IF(R67="中","两年一轮","按需抽查"))))</f>
        <v/>
      </c>
      <c r="V67" s="21">
        <f>IF($A67="","",IF(N67=0,"",(N67-Q67)/N67))</f>
        <v/>
      </c>
    </row>
    <row r="68">
      <c r="M68" s="20">
        <f>IF($A68="","",ROUND(MAX(SUMPRODUCT(H68:L68,IFERROR(VLOOKUP($C68,参数配置!$A$26:$F$38,{2,3,4,5,6},FALSE),VLOOKUP(参数配置!$A$26,参数配置!$A$26:$F$38,{2,3,4,5,6},FALSE))),参数配置!$E$13*MAX(H68:L68)),2))</f>
        <v/>
      </c>
      <c r="N68" s="20">
        <f>IF($A68="","",ROUND(G68*M68,2))</f>
        <v/>
      </c>
      <c r="O68" s="3">
        <f>IF($A68="","",IF(COUNTIFS(控制措施表!$B:$B,$A68,控制措施表!$C:$C,$F68,控制措施表!$F:$F,"是")=0,IF(COUNTIFS(控制措施表!$B:$B,$A68,控制措施表!$C:$C,$F68)=0,"",MINIFS(控制措施表!$E:$E,控制措施表!$B:$B,$A68,控制措施表!$C:$C,$F68)),MINIFS(控制措施表!$E:$E,控制措施表!$B:$B,$A68,控制措施表!$C:$C,$F68,控制措施表!$F:$F,"是")))</f>
        <v/>
      </c>
      <c r="P68" s="21">
        <f>IF($A68="","",IF(N68="",0,VLOOKUP(N68,参数配置!$D$4:$E$8,2,FALSE)))</f>
        <v/>
      </c>
      <c r="Q68" s="20">
        <f>IF($A68="","",ROUND(O68*(1-P68),2))</f>
        <v/>
      </c>
      <c r="R68" s="3">
        <f>IF($A68="","",IF(Q68&gt;=参数配置!$B$12,"极高",IF(Q68&gt;=参数配置!$B$13,"高",IF(Q68&gt;=参数配置!$B$14,"中",IF(Q68&gt;=参数配置!$B$15,"低","极低")))))</f>
        <v/>
      </c>
      <c r="S68" s="3">
        <f>IF($A68="","",ROUND(M68,0))</f>
        <v/>
      </c>
      <c r="T68" s="3">
        <f>IF($A68="","",ROUND(N68,0))</f>
        <v/>
      </c>
      <c r="U68" s="3">
        <f>IF($A68="","",IF(R68="极高","每年必审",IF(R68="高","每年审计",IF(R68="中","两年一轮","按需抽查"))))</f>
        <v/>
      </c>
      <c r="V68" s="21">
        <f>IF($A68="","",IF(N68=0,"",(N68-Q68)/N68))</f>
        <v/>
      </c>
    </row>
    <row r="69">
      <c r="M69" s="20">
        <f>IF($A69="","",ROUND(MAX(SUMPRODUCT(H69:L69,IFERROR(VLOOKUP($C69,参数配置!$A$26:$F$38,{2,3,4,5,6},FALSE),VLOOKUP(参数配置!$A$26,参数配置!$A$26:$F$38,{2,3,4,5,6},FALSE))),参数配置!$E$13*MAX(H69:L69)),2))</f>
        <v/>
      </c>
      <c r="N69" s="20">
        <f>IF($A69="","",ROUND(G69*M69,2))</f>
        <v/>
      </c>
      <c r="O69" s="3">
        <f>IF($A69="","",IF(COUNTIFS(控制措施表!$B:$B,$A69,控制措施表!$C:$C,$F69,控制措施表!$F:$F,"是")=0,IF(COUNTIFS(控制措施表!$B:$B,$A69,控制措施表!$C:$C,$F69)=0,"",MINIFS(控制措施表!$E:$E,控制措施表!$B:$B,$A69,控制措施表!$C:$C,$F69)),MINIFS(控制措施表!$E:$E,控制措施表!$B:$B,$A69,控制措施表!$C:$C,$F69,控制措施表!$F:$F,"是")))</f>
        <v/>
      </c>
      <c r="P69" s="21">
        <f>IF($A69="","",IF(N69="",0,VLOOKUP(N69,参数配置!$D$4:$E$8,2,FALSE)))</f>
        <v/>
      </c>
      <c r="Q69" s="20">
        <f>IF($A69="","",ROUND(O69*(1-P69),2))</f>
        <v/>
      </c>
      <c r="R69" s="3">
        <f>IF($A69="","",IF(Q69&gt;=参数配置!$B$12,"极高",IF(Q69&gt;=参数配置!$B$13,"高",IF(Q69&gt;=参数配置!$B$14,"中",IF(Q69&gt;=参数配置!$B$15,"低","极低")))))</f>
        <v/>
      </c>
      <c r="S69" s="3">
        <f>IF($A69="","",ROUND(M69,0))</f>
        <v/>
      </c>
      <c r="T69" s="3">
        <f>IF($A69="","",ROUND(N69,0))</f>
        <v/>
      </c>
      <c r="U69" s="3">
        <f>IF($A69="","",IF(R69="极高","每年必审",IF(R69="高","每年审计",IF(R69="中","两年一轮","按需抽查"))))</f>
        <v/>
      </c>
      <c r="V69" s="21">
        <f>IF($A69="","",IF(N69=0,"",(N69-Q69)/N69))</f>
        <v/>
      </c>
    </row>
    <row r="70">
      <c r="M70" s="20">
        <f>IF($A70="","",ROUND(MAX(SUMPRODUCT(H70:L70,IFERROR(VLOOKUP($C70,参数配置!$A$26:$F$38,{2,3,4,5,6},FALSE),VLOOKUP(参数配置!$A$26,参数配置!$A$26:$F$38,{2,3,4,5,6},FALSE))),参数配置!$E$13*MAX(H70:L70)),2))</f>
        <v/>
      </c>
      <c r="N70" s="20">
        <f>IF($A70="","",ROUND(G70*M70,2))</f>
        <v/>
      </c>
      <c r="O70" s="3">
        <f>IF($A70="","",IF(COUNTIFS(控制措施表!$B:$B,$A70,控制措施表!$C:$C,$F70,控制措施表!$F:$F,"是")=0,IF(COUNTIFS(控制措施表!$B:$B,$A70,控制措施表!$C:$C,$F70)=0,"",MINIFS(控制措施表!$E:$E,控制措施表!$B:$B,$A70,控制措施表!$C:$C,$F70)),MINIFS(控制措施表!$E:$E,控制措施表!$B:$B,$A70,控制措施表!$C:$C,$F70,控制措施表!$F:$F,"是")))</f>
        <v/>
      </c>
      <c r="P70" s="21">
        <f>IF($A70="","",IF(N70="",0,VLOOKUP(N70,参数配置!$D$4:$E$8,2,FALSE)))</f>
        <v/>
      </c>
      <c r="Q70" s="20">
        <f>IF($A70="","",ROUND(O70*(1-P70),2))</f>
        <v/>
      </c>
      <c r="R70" s="3">
        <f>IF($A70="","",IF(Q70&gt;=参数配置!$B$12,"极高",IF(Q70&gt;=参数配置!$B$13,"高",IF(Q70&gt;=参数配置!$B$14,"中",IF(Q70&gt;=参数配置!$B$15,"低","极低")))))</f>
        <v/>
      </c>
      <c r="S70" s="3">
        <f>IF($A70="","",ROUND(M70,0))</f>
        <v/>
      </c>
      <c r="T70" s="3">
        <f>IF($A70="","",ROUND(N70,0))</f>
        <v/>
      </c>
      <c r="U70" s="3">
        <f>IF($A70="","",IF(R70="极高","每年必审",IF(R70="高","每年审计",IF(R70="中","两年一轮","按需抽查"))))</f>
        <v/>
      </c>
      <c r="V70" s="21">
        <f>IF($A70="","",IF(N70=0,"",(N70-Q70)/N70))</f>
        <v/>
      </c>
    </row>
    <row r="71">
      <c r="M71" s="20">
        <f>IF($A71="","",ROUND(MAX(SUMPRODUCT(H71:L71,IFERROR(VLOOKUP($C71,参数配置!$A$26:$F$38,{2,3,4,5,6},FALSE),VLOOKUP(参数配置!$A$26,参数配置!$A$26:$F$38,{2,3,4,5,6},FALSE))),参数配置!$E$13*MAX(H71:L71)),2))</f>
        <v/>
      </c>
      <c r="N71" s="20">
        <f>IF($A71="","",ROUND(G71*M71,2))</f>
        <v/>
      </c>
      <c r="O71" s="3">
        <f>IF($A71="","",IF(COUNTIFS(控制措施表!$B:$B,$A71,控制措施表!$C:$C,$F71,控制措施表!$F:$F,"是")=0,IF(COUNTIFS(控制措施表!$B:$B,$A71,控制措施表!$C:$C,$F71)=0,"",MINIFS(控制措施表!$E:$E,控制措施表!$B:$B,$A71,控制措施表!$C:$C,$F71)),MINIFS(控制措施表!$E:$E,控制措施表!$B:$B,$A71,控制措施表!$C:$C,$F71,控制措施表!$F:$F,"是")))</f>
        <v/>
      </c>
      <c r="P71" s="21">
        <f>IF($A71="","",IF(N71="",0,VLOOKUP(N71,参数配置!$D$4:$E$8,2,FALSE)))</f>
        <v/>
      </c>
      <c r="Q71" s="20">
        <f>IF($A71="","",ROUND(O71*(1-P71),2))</f>
        <v/>
      </c>
      <c r="R71" s="3">
        <f>IF($A71="","",IF(Q71&gt;=参数配置!$B$12,"极高",IF(Q71&gt;=参数配置!$B$13,"高",IF(Q71&gt;=参数配置!$B$14,"中",IF(Q71&gt;=参数配置!$B$15,"低","极低")))))</f>
        <v/>
      </c>
      <c r="S71" s="3">
        <f>IF($A71="","",ROUND(M71,0))</f>
        <v/>
      </c>
      <c r="T71" s="3">
        <f>IF($A71="","",ROUND(N71,0))</f>
        <v/>
      </c>
      <c r="U71" s="3">
        <f>IF($A71="","",IF(R71="极高","每年必审",IF(R71="高","每年审计",IF(R71="中","两年一轮","按需抽查"))))</f>
        <v/>
      </c>
      <c r="V71" s="21">
        <f>IF($A71="","",IF(N71=0,"",(N71-Q71)/N71))</f>
        <v/>
      </c>
    </row>
    <row r="72">
      <c r="M72" s="20">
        <f>IF($A72="","",ROUND(MAX(SUMPRODUCT(H72:L72,IFERROR(VLOOKUP($C72,参数配置!$A$26:$F$38,{2,3,4,5,6},FALSE),VLOOKUP(参数配置!$A$26,参数配置!$A$26:$F$38,{2,3,4,5,6},FALSE))),参数配置!$E$13*MAX(H72:L72)),2))</f>
        <v/>
      </c>
      <c r="N72" s="20">
        <f>IF($A72="","",ROUND(G72*M72,2))</f>
        <v/>
      </c>
      <c r="O72" s="3">
        <f>IF($A72="","",IF(COUNTIFS(控制措施表!$B:$B,$A72,控制措施表!$C:$C,$F72,控制措施表!$F:$F,"是")=0,IF(COUNTIFS(控制措施表!$B:$B,$A72,控制措施表!$C:$C,$F72)=0,"",MINIFS(控制措施表!$E:$E,控制措施表!$B:$B,$A72,控制措施表!$C:$C,$F72)),MINIFS(控制措施表!$E:$E,控制措施表!$B:$B,$A72,控制措施表!$C:$C,$F72,控制措施表!$F:$F,"是")))</f>
        <v/>
      </c>
      <c r="P72" s="21">
        <f>IF($A72="","",IF(N72="",0,VLOOKUP(N72,参数配置!$D$4:$E$8,2,FALSE)))</f>
        <v/>
      </c>
      <c r="Q72" s="20">
        <f>IF($A72="","",ROUND(O72*(1-P72),2))</f>
        <v/>
      </c>
      <c r="R72" s="3">
        <f>IF($A72="","",IF(Q72&gt;=参数配置!$B$12,"极高",IF(Q72&gt;=参数配置!$B$13,"高",IF(Q72&gt;=参数配置!$B$14,"中",IF(Q72&gt;=参数配置!$B$15,"低","极低")))))</f>
        <v/>
      </c>
      <c r="S72" s="3">
        <f>IF($A72="","",ROUND(M72,0))</f>
        <v/>
      </c>
      <c r="T72" s="3">
        <f>IF($A72="","",ROUND(N72,0))</f>
        <v/>
      </c>
      <c r="U72" s="3">
        <f>IF($A72="","",IF(R72="极高","每年必审",IF(R72="高","每年审计",IF(R72="中","两年一轮","按需抽查"))))</f>
        <v/>
      </c>
      <c r="V72" s="21">
        <f>IF($A72="","",IF(N72=0,"",(N72-Q72)/N72))</f>
        <v/>
      </c>
    </row>
    <row r="73">
      <c r="M73" s="20">
        <f>IF($A73="","",ROUND(MAX(SUMPRODUCT(H73:L73,IFERROR(VLOOKUP($C73,参数配置!$A$26:$F$38,{2,3,4,5,6},FALSE),VLOOKUP(参数配置!$A$26,参数配置!$A$26:$F$38,{2,3,4,5,6},FALSE))),参数配置!$E$13*MAX(H73:L73)),2))</f>
        <v/>
      </c>
      <c r="N73" s="20">
        <f>IF($A73="","",ROUND(G73*M73,2))</f>
        <v/>
      </c>
      <c r="O73" s="3">
        <f>IF($A73="","",IF(COUNTIFS(控制措施表!$B:$B,$A73,控制措施表!$C:$C,$F73,控制措施表!$F:$F,"是")=0,IF(COUNTIFS(控制措施表!$B:$B,$A73,控制措施表!$C:$C,$F73)=0,"",MINIFS(控制措施表!$E:$E,控制措施表!$B:$B,$A73,控制措施表!$C:$C,$F73)),MINIFS(控制措施表!$E:$E,控制措施表!$B:$B,$A73,控制措施表!$C:$C,$F73,控制措施表!$F:$F,"是")))</f>
        <v/>
      </c>
      <c r="P73" s="21">
        <f>IF($A73="","",IF(N73="",0,VLOOKUP(N73,参数配置!$D$4:$E$8,2,FALSE)))</f>
        <v/>
      </c>
      <c r="Q73" s="20">
        <f>IF($A73="","",ROUND(O73*(1-P73),2))</f>
        <v/>
      </c>
      <c r="R73" s="3">
        <f>IF($A73="","",IF(Q73&gt;=参数配置!$B$12,"极高",IF(Q73&gt;=参数配置!$B$13,"高",IF(Q73&gt;=参数配置!$B$14,"中",IF(Q73&gt;=参数配置!$B$15,"低","极低")))))</f>
        <v/>
      </c>
      <c r="S73" s="3">
        <f>IF($A73="","",ROUND(M73,0))</f>
        <v/>
      </c>
      <c r="T73" s="3">
        <f>IF($A73="","",ROUND(N73,0))</f>
        <v/>
      </c>
      <c r="U73" s="3">
        <f>IF($A73="","",IF(R73="极高","每年必审",IF(R73="高","每年审计",IF(R73="中","两年一轮","按需抽查"))))</f>
        <v/>
      </c>
      <c r="V73" s="21">
        <f>IF($A73="","",IF(N73=0,"",(N73-Q73)/N73))</f>
        <v/>
      </c>
    </row>
    <row r="74">
      <c r="M74" s="20">
        <f>IF($A74="","",ROUND(MAX(SUMPRODUCT(H74:L74,IFERROR(VLOOKUP($C74,参数配置!$A$26:$F$38,{2,3,4,5,6},FALSE),VLOOKUP(参数配置!$A$26,参数配置!$A$26:$F$38,{2,3,4,5,6},FALSE))),参数配置!$E$13*MAX(H74:L74)),2))</f>
        <v/>
      </c>
      <c r="N74" s="20">
        <f>IF($A74="","",ROUND(G74*M74,2))</f>
        <v/>
      </c>
      <c r="O74" s="3">
        <f>IF($A74="","",IF(COUNTIFS(控制措施表!$B:$B,$A74,控制措施表!$C:$C,$F74,控制措施表!$F:$F,"是")=0,IF(COUNTIFS(控制措施表!$B:$B,$A74,控制措施表!$C:$C,$F74)=0,"",MINIFS(控制措施表!$E:$E,控制措施表!$B:$B,$A74,控制措施表!$C:$C,$F74)),MINIFS(控制措施表!$E:$E,控制措施表!$B:$B,$A74,控制措施表!$C:$C,$F74,控制措施表!$F:$F,"是")))</f>
        <v/>
      </c>
      <c r="P74" s="21">
        <f>IF($A74="","",IF(N74="",0,VLOOKUP(N74,参数配置!$D$4:$E$8,2,FALSE)))</f>
        <v/>
      </c>
      <c r="Q74" s="20">
        <f>IF($A74="","",ROUND(O74*(1-P74),2))</f>
        <v/>
      </c>
      <c r="R74" s="3">
        <f>IF($A74="","",IF(Q74&gt;=参数配置!$B$12,"极高",IF(Q74&gt;=参数配置!$B$13,"高",IF(Q74&gt;=参数配置!$B$14,"中",IF(Q74&gt;=参数配置!$B$15,"低","极低")))))</f>
        <v/>
      </c>
      <c r="S74" s="3">
        <f>IF($A74="","",ROUND(M74,0))</f>
        <v/>
      </c>
      <c r="T74" s="3">
        <f>IF($A74="","",ROUND(N74,0))</f>
        <v/>
      </c>
      <c r="U74" s="3">
        <f>IF($A74="","",IF(R74="极高","每年必审",IF(R74="高","每年审计",IF(R74="中","两年一轮","按需抽查"))))</f>
        <v/>
      </c>
      <c r="V74" s="21">
        <f>IF($A74="","",IF(N74=0,"",(N74-Q74)/N74))</f>
        <v/>
      </c>
    </row>
    <row r="75">
      <c r="M75" s="20">
        <f>IF($A75="","",ROUND(MAX(SUMPRODUCT(H75:L75,IFERROR(VLOOKUP($C75,参数配置!$A$26:$F$38,{2,3,4,5,6},FALSE),VLOOKUP(参数配置!$A$26,参数配置!$A$26:$F$38,{2,3,4,5,6},FALSE))),参数配置!$E$13*MAX(H75:L75)),2))</f>
        <v/>
      </c>
      <c r="N75" s="20">
        <f>IF($A75="","",ROUND(G75*M75,2))</f>
        <v/>
      </c>
      <c r="O75" s="3">
        <f>IF($A75="","",IF(COUNTIFS(控制措施表!$B:$B,$A75,控制措施表!$C:$C,$F75,控制措施表!$F:$F,"是")=0,IF(COUNTIFS(控制措施表!$B:$B,$A75,控制措施表!$C:$C,$F75)=0,"",MINIFS(控制措施表!$E:$E,控制措施表!$B:$B,$A75,控制措施表!$C:$C,$F75)),MINIFS(控制措施表!$E:$E,控制措施表!$B:$B,$A75,控制措施表!$C:$C,$F75,控制措施表!$F:$F,"是")))</f>
        <v/>
      </c>
      <c r="P75" s="21">
        <f>IF($A75="","",IF(N75="",0,VLOOKUP(N75,参数配置!$D$4:$E$8,2,FALSE)))</f>
        <v/>
      </c>
      <c r="Q75" s="20">
        <f>IF($A75="","",ROUND(O75*(1-P75),2))</f>
        <v/>
      </c>
      <c r="R75" s="3">
        <f>IF($A75="","",IF(Q75&gt;=参数配置!$B$12,"极高",IF(Q75&gt;=参数配置!$B$13,"高",IF(Q75&gt;=参数配置!$B$14,"中",IF(Q75&gt;=参数配置!$B$15,"低","极低")))))</f>
        <v/>
      </c>
      <c r="S75" s="3">
        <f>IF($A75="","",ROUND(M75,0))</f>
        <v/>
      </c>
      <c r="T75" s="3">
        <f>IF($A75="","",ROUND(N75,0))</f>
        <v/>
      </c>
      <c r="U75" s="3">
        <f>IF($A75="","",IF(R75="极高","每年必审",IF(R75="高","每年审计",IF(R75="中","两年一轮","按需抽查"))))</f>
        <v/>
      </c>
      <c r="V75" s="21">
        <f>IF($A75="","",IF(N75=0,"",(N75-Q75)/N75))</f>
        <v/>
      </c>
    </row>
    <row r="76">
      <c r="M76" s="20">
        <f>IF($A76="","",ROUND(MAX(SUMPRODUCT(H76:L76,IFERROR(VLOOKUP($C76,参数配置!$A$26:$F$38,{2,3,4,5,6},FALSE),VLOOKUP(参数配置!$A$26,参数配置!$A$26:$F$38,{2,3,4,5,6},FALSE))),参数配置!$E$13*MAX(H76:L76)),2))</f>
        <v/>
      </c>
      <c r="N76" s="20">
        <f>IF($A76="","",ROUND(G76*M76,2))</f>
        <v/>
      </c>
      <c r="O76" s="3">
        <f>IF($A76="","",IF(COUNTIFS(控制措施表!$B:$B,$A76,控制措施表!$C:$C,$F76,控制措施表!$F:$F,"是")=0,IF(COUNTIFS(控制措施表!$B:$B,$A76,控制措施表!$C:$C,$F76)=0,"",MINIFS(控制措施表!$E:$E,控制措施表!$B:$B,$A76,控制措施表!$C:$C,$F76)),MINIFS(控制措施表!$E:$E,控制措施表!$B:$B,$A76,控制措施表!$C:$C,$F76,控制措施表!$F:$F,"是")))</f>
        <v/>
      </c>
      <c r="P76" s="21">
        <f>IF($A76="","",IF(N76="",0,VLOOKUP(N76,参数配置!$D$4:$E$8,2,FALSE)))</f>
        <v/>
      </c>
      <c r="Q76" s="20">
        <f>IF($A76="","",ROUND(O76*(1-P76),2))</f>
        <v/>
      </c>
      <c r="R76" s="3">
        <f>IF($A76="","",IF(Q76&gt;=参数配置!$B$12,"极高",IF(Q76&gt;=参数配置!$B$13,"高",IF(Q76&gt;=参数配置!$B$14,"中",IF(Q76&gt;=参数配置!$B$15,"低","极低")))))</f>
        <v/>
      </c>
      <c r="S76" s="3">
        <f>IF($A76="","",ROUND(M76,0))</f>
        <v/>
      </c>
      <c r="T76" s="3">
        <f>IF($A76="","",ROUND(N76,0))</f>
        <v/>
      </c>
      <c r="U76" s="3">
        <f>IF($A76="","",IF(R76="极高","每年必审",IF(R76="高","每年审计",IF(R76="中","两年一轮","按需抽查"))))</f>
        <v/>
      </c>
      <c r="V76" s="21">
        <f>IF($A76="","",IF(N76=0,"",(N76-Q76)/N76))</f>
        <v/>
      </c>
    </row>
    <row r="77">
      <c r="M77" s="20">
        <f>IF($A77="","",ROUND(MAX(SUMPRODUCT(H77:L77,IFERROR(VLOOKUP($C77,参数配置!$A$26:$F$38,{2,3,4,5,6},FALSE),VLOOKUP(参数配置!$A$26,参数配置!$A$26:$F$38,{2,3,4,5,6},FALSE))),参数配置!$E$13*MAX(H77:L77)),2))</f>
        <v/>
      </c>
      <c r="N77" s="20">
        <f>IF($A77="","",ROUND(G77*M77,2))</f>
        <v/>
      </c>
      <c r="O77" s="3">
        <f>IF($A77="","",IF(COUNTIFS(控制措施表!$B:$B,$A77,控制措施表!$C:$C,$F77,控制措施表!$F:$F,"是")=0,IF(COUNTIFS(控制措施表!$B:$B,$A77,控制措施表!$C:$C,$F77)=0,"",MINIFS(控制措施表!$E:$E,控制措施表!$B:$B,$A77,控制措施表!$C:$C,$F77)),MINIFS(控制措施表!$E:$E,控制措施表!$B:$B,$A77,控制措施表!$C:$C,$F77,控制措施表!$F:$F,"是")))</f>
        <v/>
      </c>
      <c r="P77" s="21">
        <f>IF($A77="","",IF(N77="",0,VLOOKUP(N77,参数配置!$D$4:$E$8,2,FALSE)))</f>
        <v/>
      </c>
      <c r="Q77" s="20">
        <f>IF($A77="","",ROUND(O77*(1-P77),2))</f>
        <v/>
      </c>
      <c r="R77" s="3">
        <f>IF($A77="","",IF(Q77&gt;=参数配置!$B$12,"极高",IF(Q77&gt;=参数配置!$B$13,"高",IF(Q77&gt;=参数配置!$B$14,"中",IF(Q77&gt;=参数配置!$B$15,"低","极低")))))</f>
        <v/>
      </c>
      <c r="S77" s="3">
        <f>IF($A77="","",ROUND(M77,0))</f>
        <v/>
      </c>
      <c r="T77" s="3">
        <f>IF($A77="","",ROUND(N77,0))</f>
        <v/>
      </c>
      <c r="U77" s="3">
        <f>IF($A77="","",IF(R77="极高","每年必审",IF(R77="高","每年审计",IF(R77="中","两年一轮","按需抽查"))))</f>
        <v/>
      </c>
      <c r="V77" s="21">
        <f>IF($A77="","",IF(N77=0,"",(N77-Q77)/N77))</f>
        <v/>
      </c>
    </row>
    <row r="78">
      <c r="M78" s="20">
        <f>IF($A78="","",ROUND(MAX(SUMPRODUCT(H78:L78,IFERROR(VLOOKUP($C78,参数配置!$A$26:$F$38,{2,3,4,5,6},FALSE),VLOOKUP(参数配置!$A$26,参数配置!$A$26:$F$38,{2,3,4,5,6},FALSE))),参数配置!$E$13*MAX(H78:L78)),2))</f>
        <v/>
      </c>
      <c r="N78" s="20">
        <f>IF($A78="","",ROUND(G78*M78,2))</f>
        <v/>
      </c>
      <c r="O78" s="3">
        <f>IF($A78="","",IF(COUNTIFS(控制措施表!$B:$B,$A78,控制措施表!$C:$C,$F78,控制措施表!$F:$F,"是")=0,IF(COUNTIFS(控制措施表!$B:$B,$A78,控制措施表!$C:$C,$F78)=0,"",MINIFS(控制措施表!$E:$E,控制措施表!$B:$B,$A78,控制措施表!$C:$C,$F78)),MINIFS(控制措施表!$E:$E,控制措施表!$B:$B,$A78,控制措施表!$C:$C,$F78,控制措施表!$F:$F,"是")))</f>
        <v/>
      </c>
      <c r="P78" s="21">
        <f>IF($A78="","",IF(N78="",0,VLOOKUP(N78,参数配置!$D$4:$E$8,2,FALSE)))</f>
        <v/>
      </c>
      <c r="Q78" s="20">
        <f>IF($A78="","",ROUND(O78*(1-P78),2))</f>
        <v/>
      </c>
      <c r="R78" s="3">
        <f>IF($A78="","",IF(Q78&gt;=参数配置!$B$12,"极高",IF(Q78&gt;=参数配置!$B$13,"高",IF(Q78&gt;=参数配置!$B$14,"中",IF(Q78&gt;=参数配置!$B$15,"低","极低")))))</f>
        <v/>
      </c>
      <c r="S78" s="3">
        <f>IF($A78="","",ROUND(M78,0))</f>
        <v/>
      </c>
      <c r="T78" s="3">
        <f>IF($A78="","",ROUND(N78,0))</f>
        <v/>
      </c>
      <c r="U78" s="3">
        <f>IF($A78="","",IF(R78="极高","每年必审",IF(R78="高","每年审计",IF(R78="中","两年一轮","按需抽查"))))</f>
        <v/>
      </c>
      <c r="V78" s="21">
        <f>IF($A78="","",IF(N78=0,"",(N78-Q78)/N78))</f>
        <v/>
      </c>
    </row>
    <row r="79">
      <c r="M79" s="20">
        <f>IF($A79="","",ROUND(MAX(SUMPRODUCT(H79:L79,IFERROR(VLOOKUP($C79,参数配置!$A$26:$F$38,{2,3,4,5,6},FALSE),VLOOKUP(参数配置!$A$26,参数配置!$A$26:$F$38,{2,3,4,5,6},FALSE))),参数配置!$E$13*MAX(H79:L79)),2))</f>
        <v/>
      </c>
      <c r="N79" s="20">
        <f>IF($A79="","",ROUND(G79*M79,2))</f>
        <v/>
      </c>
      <c r="O79" s="3">
        <f>IF($A79="","",IF(COUNTIFS(控制措施表!$B:$B,$A79,控制措施表!$C:$C,$F79,控制措施表!$F:$F,"是")=0,IF(COUNTIFS(控制措施表!$B:$B,$A79,控制措施表!$C:$C,$F79)=0,"",MINIFS(控制措施表!$E:$E,控制措施表!$B:$B,$A79,控制措施表!$C:$C,$F79)),MINIFS(控制措施表!$E:$E,控制措施表!$B:$B,$A79,控制措施表!$C:$C,$F79,控制措施表!$F:$F,"是")))</f>
        <v/>
      </c>
      <c r="P79" s="21">
        <f>IF($A79="","",IF(N79="",0,VLOOKUP(N79,参数配置!$D$4:$E$8,2,FALSE)))</f>
        <v/>
      </c>
      <c r="Q79" s="20">
        <f>IF($A79="","",ROUND(O79*(1-P79),2))</f>
        <v/>
      </c>
      <c r="R79" s="3">
        <f>IF($A79="","",IF(Q79&gt;=参数配置!$B$12,"极高",IF(Q79&gt;=参数配置!$B$13,"高",IF(Q79&gt;=参数配置!$B$14,"中",IF(Q79&gt;=参数配置!$B$15,"低","极低")))))</f>
        <v/>
      </c>
      <c r="S79" s="3">
        <f>IF($A79="","",ROUND(M79,0))</f>
        <v/>
      </c>
      <c r="T79" s="3">
        <f>IF($A79="","",ROUND(N79,0))</f>
        <v/>
      </c>
      <c r="U79" s="3">
        <f>IF($A79="","",IF(R79="极高","每年必审",IF(R79="高","每年审计",IF(R79="中","两年一轮","按需抽查"))))</f>
        <v/>
      </c>
      <c r="V79" s="21">
        <f>IF($A79="","",IF(N79=0,"",(N79-Q79)/N79))</f>
        <v/>
      </c>
    </row>
    <row r="80">
      <c r="M80" s="20">
        <f>IF($A80="","",ROUND(MAX(SUMPRODUCT(H80:L80,IFERROR(VLOOKUP($C80,参数配置!$A$26:$F$38,{2,3,4,5,6},FALSE),VLOOKUP(参数配置!$A$26,参数配置!$A$26:$F$38,{2,3,4,5,6},FALSE))),参数配置!$E$13*MAX(H80:L80)),2))</f>
        <v/>
      </c>
      <c r="N80" s="20">
        <f>IF($A80="","",ROUND(G80*M80,2))</f>
        <v/>
      </c>
      <c r="O80" s="3">
        <f>IF($A80="","",IF(COUNTIFS(控制措施表!$B:$B,$A80,控制措施表!$C:$C,$F80,控制措施表!$F:$F,"是")=0,IF(COUNTIFS(控制措施表!$B:$B,$A80,控制措施表!$C:$C,$F80)=0,"",MINIFS(控制措施表!$E:$E,控制措施表!$B:$B,$A80,控制措施表!$C:$C,$F80)),MINIFS(控制措施表!$E:$E,控制措施表!$B:$B,$A80,控制措施表!$C:$C,$F80,控制措施表!$F:$F,"是")))</f>
        <v/>
      </c>
      <c r="P80" s="21">
        <f>IF($A80="","",IF(N80="",0,VLOOKUP(N80,参数配置!$D$4:$E$8,2,FALSE)))</f>
        <v/>
      </c>
      <c r="Q80" s="20">
        <f>IF($A80="","",ROUND(O80*(1-P80),2))</f>
        <v/>
      </c>
      <c r="R80" s="3">
        <f>IF($A80="","",IF(Q80&gt;=参数配置!$B$12,"极高",IF(Q80&gt;=参数配置!$B$13,"高",IF(Q80&gt;=参数配置!$B$14,"中",IF(Q80&gt;=参数配置!$B$15,"低","极低")))))</f>
        <v/>
      </c>
      <c r="S80" s="3">
        <f>IF($A80="","",ROUND(M80,0))</f>
        <v/>
      </c>
      <c r="T80" s="3">
        <f>IF($A80="","",ROUND(N80,0))</f>
        <v/>
      </c>
      <c r="U80" s="3">
        <f>IF($A80="","",IF(R80="极高","每年必审",IF(R80="高","每年审计",IF(R80="中","两年一轮","按需抽查"))))</f>
        <v/>
      </c>
      <c r="V80" s="21">
        <f>IF($A80="","",IF(N80=0,"",(N80-Q80)/N80))</f>
        <v/>
      </c>
    </row>
    <row r="81">
      <c r="M81" s="20">
        <f>IF($A81="","",ROUND(MAX(SUMPRODUCT(H81:L81,IFERROR(VLOOKUP($C81,参数配置!$A$26:$F$38,{2,3,4,5,6},FALSE),VLOOKUP(参数配置!$A$26,参数配置!$A$26:$F$38,{2,3,4,5,6},FALSE))),参数配置!$E$13*MAX(H81:L81)),2))</f>
        <v/>
      </c>
      <c r="N81" s="20">
        <f>IF($A81="","",ROUND(G81*M81,2))</f>
        <v/>
      </c>
      <c r="O81" s="3">
        <f>IF($A81="","",IF(COUNTIFS(控制措施表!$B:$B,$A81,控制措施表!$C:$C,$F81,控制措施表!$F:$F,"是")=0,IF(COUNTIFS(控制措施表!$B:$B,$A81,控制措施表!$C:$C,$F81)=0,"",MINIFS(控制措施表!$E:$E,控制措施表!$B:$B,$A81,控制措施表!$C:$C,$F81)),MINIFS(控制措施表!$E:$E,控制措施表!$B:$B,$A81,控制措施表!$C:$C,$F81,控制措施表!$F:$F,"是")))</f>
        <v/>
      </c>
      <c r="P81" s="21">
        <f>IF($A81="","",IF(N81="",0,VLOOKUP(N81,参数配置!$D$4:$E$8,2,FALSE)))</f>
        <v/>
      </c>
      <c r="Q81" s="20">
        <f>IF($A81="","",ROUND(O81*(1-P81),2))</f>
        <v/>
      </c>
      <c r="R81" s="3">
        <f>IF($A81="","",IF(Q81&gt;=参数配置!$B$12,"极高",IF(Q81&gt;=参数配置!$B$13,"高",IF(Q81&gt;=参数配置!$B$14,"中",IF(Q81&gt;=参数配置!$B$15,"低","极低")))))</f>
        <v/>
      </c>
      <c r="S81" s="3">
        <f>IF($A81="","",ROUND(M81,0))</f>
        <v/>
      </c>
      <c r="T81" s="3">
        <f>IF($A81="","",ROUND(N81,0))</f>
        <v/>
      </c>
      <c r="U81" s="3">
        <f>IF($A81="","",IF(R81="极高","每年必审",IF(R81="高","每年审计",IF(R81="中","两年一轮","按需抽查"))))</f>
        <v/>
      </c>
      <c r="V81" s="21">
        <f>IF($A81="","",IF(N81=0,"",(N81-Q81)/N81))</f>
        <v/>
      </c>
    </row>
    <row r="82">
      <c r="M82" s="20">
        <f>IF($A82="","",ROUND(MAX(SUMPRODUCT(H82:L82,IFERROR(VLOOKUP($C82,参数配置!$A$26:$F$38,{2,3,4,5,6},FALSE),VLOOKUP(参数配置!$A$26,参数配置!$A$26:$F$38,{2,3,4,5,6},FALSE))),参数配置!$E$13*MAX(H82:L82)),2))</f>
        <v/>
      </c>
      <c r="N82" s="20">
        <f>IF($A82="","",ROUND(G82*M82,2))</f>
        <v/>
      </c>
      <c r="O82" s="3">
        <f>IF($A82="","",IF(COUNTIFS(控制措施表!$B:$B,$A82,控制措施表!$C:$C,$F82,控制措施表!$F:$F,"是")=0,IF(COUNTIFS(控制措施表!$B:$B,$A82,控制措施表!$C:$C,$F82)=0,"",MINIFS(控制措施表!$E:$E,控制措施表!$B:$B,$A82,控制措施表!$C:$C,$F82)),MINIFS(控制措施表!$E:$E,控制措施表!$B:$B,$A82,控制措施表!$C:$C,$F82,控制措施表!$F:$F,"是")))</f>
        <v/>
      </c>
      <c r="P82" s="21">
        <f>IF($A82="","",IF(N82="",0,VLOOKUP(N82,参数配置!$D$4:$E$8,2,FALSE)))</f>
        <v/>
      </c>
      <c r="Q82" s="20">
        <f>IF($A82="","",ROUND(O82*(1-P82),2))</f>
        <v/>
      </c>
      <c r="R82" s="3">
        <f>IF($A82="","",IF(Q82&gt;=参数配置!$B$12,"极高",IF(Q82&gt;=参数配置!$B$13,"高",IF(Q82&gt;=参数配置!$B$14,"中",IF(Q82&gt;=参数配置!$B$15,"低","极低")))))</f>
        <v/>
      </c>
      <c r="S82" s="3">
        <f>IF($A82="","",ROUND(M82,0))</f>
        <v/>
      </c>
      <c r="T82" s="3">
        <f>IF($A82="","",ROUND(N82,0))</f>
        <v/>
      </c>
      <c r="U82" s="3">
        <f>IF($A82="","",IF(R82="极高","每年必审",IF(R82="高","每年审计",IF(R82="中","两年一轮","按需抽查"))))</f>
        <v/>
      </c>
      <c r="V82" s="21">
        <f>IF($A82="","",IF(N82=0,"",(N82-Q82)/N82))</f>
        <v/>
      </c>
    </row>
    <row r="83">
      <c r="M83" s="20">
        <f>IF($A83="","",ROUND(MAX(SUMPRODUCT(H83:L83,IFERROR(VLOOKUP($C83,参数配置!$A$26:$F$38,{2,3,4,5,6},FALSE),VLOOKUP(参数配置!$A$26,参数配置!$A$26:$F$38,{2,3,4,5,6},FALSE))),参数配置!$E$13*MAX(H83:L83)),2))</f>
        <v/>
      </c>
      <c r="N83" s="20">
        <f>IF($A83="","",ROUND(G83*M83,2))</f>
        <v/>
      </c>
      <c r="O83" s="3">
        <f>IF($A83="","",IF(COUNTIFS(控制措施表!$B:$B,$A83,控制措施表!$C:$C,$F83,控制措施表!$F:$F,"是")=0,IF(COUNTIFS(控制措施表!$B:$B,$A83,控制措施表!$C:$C,$F83)=0,"",MINIFS(控制措施表!$E:$E,控制措施表!$B:$B,$A83,控制措施表!$C:$C,$F83)),MINIFS(控制措施表!$E:$E,控制措施表!$B:$B,$A83,控制措施表!$C:$C,$F83,控制措施表!$F:$F,"是")))</f>
        <v/>
      </c>
      <c r="P83" s="21">
        <f>IF($A83="","",IF(N83="",0,VLOOKUP(N83,参数配置!$D$4:$E$8,2,FALSE)))</f>
        <v/>
      </c>
      <c r="Q83" s="20">
        <f>IF($A83="","",ROUND(O83*(1-P83),2))</f>
        <v/>
      </c>
      <c r="R83" s="3">
        <f>IF($A83="","",IF(Q83&gt;=参数配置!$B$12,"极高",IF(Q83&gt;=参数配置!$B$13,"高",IF(Q83&gt;=参数配置!$B$14,"中",IF(Q83&gt;=参数配置!$B$15,"低","极低")))))</f>
        <v/>
      </c>
      <c r="S83" s="3">
        <f>IF($A83="","",ROUND(M83,0))</f>
        <v/>
      </c>
      <c r="T83" s="3">
        <f>IF($A83="","",ROUND(N83,0))</f>
        <v/>
      </c>
      <c r="U83" s="3">
        <f>IF($A83="","",IF(R83="极高","每年必审",IF(R83="高","每年审计",IF(R83="中","两年一轮","按需抽查"))))</f>
        <v/>
      </c>
      <c r="V83" s="21">
        <f>IF($A83="","",IF(N83=0,"",(N83-Q83)/N83))</f>
        <v/>
      </c>
    </row>
    <row r="84">
      <c r="M84" s="20">
        <f>IF($A84="","",ROUND(MAX(SUMPRODUCT(H84:L84,IFERROR(VLOOKUP($C84,参数配置!$A$26:$F$38,{2,3,4,5,6},FALSE),VLOOKUP(参数配置!$A$26,参数配置!$A$26:$F$38,{2,3,4,5,6},FALSE))),参数配置!$E$13*MAX(H84:L84)),2))</f>
        <v/>
      </c>
      <c r="N84" s="20">
        <f>IF($A84="","",ROUND(G84*M84,2))</f>
        <v/>
      </c>
      <c r="O84" s="3">
        <f>IF($A84="","",IF(COUNTIFS(控制措施表!$B:$B,$A84,控制措施表!$C:$C,$F84,控制措施表!$F:$F,"是")=0,IF(COUNTIFS(控制措施表!$B:$B,$A84,控制措施表!$C:$C,$F84)=0,"",MINIFS(控制措施表!$E:$E,控制措施表!$B:$B,$A84,控制措施表!$C:$C,$F84)),MINIFS(控制措施表!$E:$E,控制措施表!$B:$B,$A84,控制措施表!$C:$C,$F84,控制措施表!$F:$F,"是")))</f>
        <v/>
      </c>
      <c r="P84" s="21">
        <f>IF($A84="","",IF(N84="",0,VLOOKUP(N84,参数配置!$D$4:$E$8,2,FALSE)))</f>
        <v/>
      </c>
      <c r="Q84" s="20">
        <f>IF($A84="","",ROUND(O84*(1-P84),2))</f>
        <v/>
      </c>
      <c r="R84" s="3">
        <f>IF($A84="","",IF(Q84&gt;=参数配置!$B$12,"极高",IF(Q84&gt;=参数配置!$B$13,"高",IF(Q84&gt;=参数配置!$B$14,"中",IF(Q84&gt;=参数配置!$B$15,"低","极低")))))</f>
        <v/>
      </c>
      <c r="S84" s="3">
        <f>IF($A84="","",ROUND(M84,0))</f>
        <v/>
      </c>
      <c r="T84" s="3">
        <f>IF($A84="","",ROUND(N84,0))</f>
        <v/>
      </c>
      <c r="U84" s="3">
        <f>IF($A84="","",IF(R84="极高","每年必审",IF(R84="高","每年审计",IF(R84="中","两年一轮","按需抽查"))))</f>
        <v/>
      </c>
      <c r="V84" s="21">
        <f>IF($A84="","",IF(N84=0,"",(N84-Q84)/N84))</f>
        <v/>
      </c>
    </row>
    <row r="85">
      <c r="M85" s="20">
        <f>IF($A85="","",ROUND(MAX(SUMPRODUCT(H85:L85,IFERROR(VLOOKUP($C85,参数配置!$A$26:$F$38,{2,3,4,5,6},FALSE),VLOOKUP(参数配置!$A$26,参数配置!$A$26:$F$38,{2,3,4,5,6},FALSE))),参数配置!$E$13*MAX(H85:L85)),2))</f>
        <v/>
      </c>
      <c r="N85" s="20">
        <f>IF($A85="","",ROUND(G85*M85,2))</f>
        <v/>
      </c>
      <c r="O85" s="3">
        <f>IF($A85="","",IF(COUNTIFS(控制措施表!$B:$B,$A85,控制措施表!$C:$C,$F85,控制措施表!$F:$F,"是")=0,IF(COUNTIFS(控制措施表!$B:$B,$A85,控制措施表!$C:$C,$F85)=0,"",MINIFS(控制措施表!$E:$E,控制措施表!$B:$B,$A85,控制措施表!$C:$C,$F85)),MINIFS(控制措施表!$E:$E,控制措施表!$B:$B,$A85,控制措施表!$C:$C,$F85,控制措施表!$F:$F,"是")))</f>
        <v/>
      </c>
      <c r="P85" s="21">
        <f>IF($A85="","",IF(N85="",0,VLOOKUP(N85,参数配置!$D$4:$E$8,2,FALSE)))</f>
        <v/>
      </c>
      <c r="Q85" s="20">
        <f>IF($A85="","",ROUND(O85*(1-P85),2))</f>
        <v/>
      </c>
      <c r="R85" s="3">
        <f>IF($A85="","",IF(Q85&gt;=参数配置!$B$12,"极高",IF(Q85&gt;=参数配置!$B$13,"高",IF(Q85&gt;=参数配置!$B$14,"中",IF(Q85&gt;=参数配置!$B$15,"低","极低")))))</f>
        <v/>
      </c>
      <c r="S85" s="3">
        <f>IF($A85="","",ROUND(M85,0))</f>
        <v/>
      </c>
      <c r="T85" s="3">
        <f>IF($A85="","",ROUND(N85,0))</f>
        <v/>
      </c>
      <c r="U85" s="3">
        <f>IF($A85="","",IF(R85="极高","每年必审",IF(R85="高","每年审计",IF(R85="中","两年一轮","按需抽查"))))</f>
        <v/>
      </c>
      <c r="V85" s="21">
        <f>IF($A85="","",IF(N85=0,"",(N85-Q85)/N85))</f>
        <v/>
      </c>
    </row>
    <row r="86">
      <c r="M86" s="20">
        <f>IF($A86="","",ROUND(MAX(SUMPRODUCT(H86:L86,IFERROR(VLOOKUP($C86,参数配置!$A$26:$F$38,{2,3,4,5,6},FALSE),VLOOKUP(参数配置!$A$26,参数配置!$A$26:$F$38,{2,3,4,5,6},FALSE))),参数配置!$E$13*MAX(H86:L86)),2))</f>
        <v/>
      </c>
      <c r="N86" s="20">
        <f>IF($A86="","",ROUND(G86*M86,2))</f>
        <v/>
      </c>
      <c r="O86" s="3">
        <f>IF($A86="","",IF(COUNTIFS(控制措施表!$B:$B,$A86,控制措施表!$C:$C,$F86,控制措施表!$F:$F,"是")=0,IF(COUNTIFS(控制措施表!$B:$B,$A86,控制措施表!$C:$C,$F86)=0,"",MINIFS(控制措施表!$E:$E,控制措施表!$B:$B,$A86,控制措施表!$C:$C,$F86)),MINIFS(控制措施表!$E:$E,控制措施表!$B:$B,$A86,控制措施表!$C:$C,$F86,控制措施表!$F:$F,"是")))</f>
        <v/>
      </c>
      <c r="P86" s="21">
        <f>IF($A86="","",IF(N86="",0,VLOOKUP(N86,参数配置!$D$4:$E$8,2,FALSE)))</f>
        <v/>
      </c>
      <c r="Q86" s="20">
        <f>IF($A86="","",ROUND(O86*(1-P86),2))</f>
        <v/>
      </c>
      <c r="R86" s="3">
        <f>IF($A86="","",IF(Q86&gt;=参数配置!$B$12,"极高",IF(Q86&gt;=参数配置!$B$13,"高",IF(Q86&gt;=参数配置!$B$14,"中",IF(Q86&gt;=参数配置!$B$15,"低","极低")))))</f>
        <v/>
      </c>
      <c r="S86" s="3">
        <f>IF($A86="","",ROUND(M86,0))</f>
        <v/>
      </c>
      <c r="T86" s="3">
        <f>IF($A86="","",ROUND(N86,0))</f>
        <v/>
      </c>
      <c r="U86" s="3">
        <f>IF($A86="","",IF(R86="极高","每年必审",IF(R86="高","每年审计",IF(R86="中","两年一轮","按需抽查"))))</f>
        <v/>
      </c>
      <c r="V86" s="21">
        <f>IF($A86="","",IF(N86=0,"",(N86-Q86)/N86))</f>
        <v/>
      </c>
    </row>
    <row r="87">
      <c r="M87" s="20">
        <f>IF($A87="","",ROUND(MAX(SUMPRODUCT(H87:L87,IFERROR(VLOOKUP($C87,参数配置!$A$26:$F$38,{2,3,4,5,6},FALSE),VLOOKUP(参数配置!$A$26,参数配置!$A$26:$F$38,{2,3,4,5,6},FALSE))),参数配置!$E$13*MAX(H87:L87)),2))</f>
        <v/>
      </c>
      <c r="N87" s="20">
        <f>IF($A87="","",ROUND(G87*M87,2))</f>
        <v/>
      </c>
      <c r="O87" s="3">
        <f>IF($A87="","",IF(COUNTIFS(控制措施表!$B:$B,$A87,控制措施表!$C:$C,$F87,控制措施表!$F:$F,"是")=0,IF(COUNTIFS(控制措施表!$B:$B,$A87,控制措施表!$C:$C,$F87)=0,"",MINIFS(控制措施表!$E:$E,控制措施表!$B:$B,$A87,控制措施表!$C:$C,$F87)),MINIFS(控制措施表!$E:$E,控制措施表!$B:$B,$A87,控制措施表!$C:$C,$F87,控制措施表!$F:$F,"是")))</f>
        <v/>
      </c>
      <c r="P87" s="21">
        <f>IF($A87="","",IF(N87="",0,VLOOKUP(N87,参数配置!$D$4:$E$8,2,FALSE)))</f>
        <v/>
      </c>
      <c r="Q87" s="20">
        <f>IF($A87="","",ROUND(O87*(1-P87),2))</f>
        <v/>
      </c>
      <c r="R87" s="3">
        <f>IF($A87="","",IF(Q87&gt;=参数配置!$B$12,"极高",IF(Q87&gt;=参数配置!$B$13,"高",IF(Q87&gt;=参数配置!$B$14,"中",IF(Q87&gt;=参数配置!$B$15,"低","极低")))))</f>
        <v/>
      </c>
      <c r="S87" s="3">
        <f>IF($A87="","",ROUND(M87,0))</f>
        <v/>
      </c>
      <c r="T87" s="3">
        <f>IF($A87="","",ROUND(N87,0))</f>
        <v/>
      </c>
      <c r="U87" s="3">
        <f>IF($A87="","",IF(R87="极高","每年必审",IF(R87="高","每年审计",IF(R87="中","两年一轮","按需抽查"))))</f>
        <v/>
      </c>
      <c r="V87" s="21">
        <f>IF($A87="","",IF(N87=0,"",(N87-Q87)/N87))</f>
        <v/>
      </c>
    </row>
    <row r="88">
      <c r="M88" s="20">
        <f>IF($A88="","",ROUND(MAX(SUMPRODUCT(H88:L88,IFERROR(VLOOKUP($C88,参数配置!$A$26:$F$38,{2,3,4,5,6},FALSE),VLOOKUP(参数配置!$A$26,参数配置!$A$26:$F$38,{2,3,4,5,6},FALSE))),参数配置!$E$13*MAX(H88:L88)),2))</f>
        <v/>
      </c>
      <c r="N88" s="20">
        <f>IF($A88="","",ROUND(G88*M88,2))</f>
        <v/>
      </c>
      <c r="O88" s="3">
        <f>IF($A88="","",IF(COUNTIFS(控制措施表!$B:$B,$A88,控制措施表!$C:$C,$F88,控制措施表!$F:$F,"是")=0,IF(COUNTIFS(控制措施表!$B:$B,$A88,控制措施表!$C:$C,$F88)=0,"",MINIFS(控制措施表!$E:$E,控制措施表!$B:$B,$A88,控制措施表!$C:$C,$F88)),MINIFS(控制措施表!$E:$E,控制措施表!$B:$B,$A88,控制措施表!$C:$C,$F88,控制措施表!$F:$F,"是")))</f>
        <v/>
      </c>
      <c r="P88" s="21">
        <f>IF($A88="","",IF(N88="",0,VLOOKUP(N88,参数配置!$D$4:$E$8,2,FALSE)))</f>
        <v/>
      </c>
      <c r="Q88" s="20">
        <f>IF($A88="","",ROUND(O88*(1-P88),2))</f>
        <v/>
      </c>
      <c r="R88" s="3">
        <f>IF($A88="","",IF(Q88&gt;=参数配置!$B$12,"极高",IF(Q88&gt;=参数配置!$B$13,"高",IF(Q88&gt;=参数配置!$B$14,"中",IF(Q88&gt;=参数配置!$B$15,"低","极低")))))</f>
        <v/>
      </c>
      <c r="S88" s="3">
        <f>IF($A88="","",ROUND(M88,0))</f>
        <v/>
      </c>
      <c r="T88" s="3">
        <f>IF($A88="","",ROUND(N88,0))</f>
        <v/>
      </c>
      <c r="U88" s="3">
        <f>IF($A88="","",IF(R88="极高","每年必审",IF(R88="高","每年审计",IF(R88="中","两年一轮","按需抽查"))))</f>
        <v/>
      </c>
      <c r="V88" s="21">
        <f>IF($A88="","",IF(N88=0,"",(N88-Q88)/N88))</f>
        <v/>
      </c>
    </row>
    <row r="89">
      <c r="M89" s="20">
        <f>IF($A89="","",ROUND(MAX(SUMPRODUCT(H89:L89,IFERROR(VLOOKUP($C89,参数配置!$A$26:$F$38,{2,3,4,5,6},FALSE),VLOOKUP(参数配置!$A$26,参数配置!$A$26:$F$38,{2,3,4,5,6},FALSE))),参数配置!$E$13*MAX(H89:L89)),2))</f>
        <v/>
      </c>
      <c r="N89" s="20">
        <f>IF($A89="","",ROUND(G89*M89,2))</f>
        <v/>
      </c>
      <c r="O89" s="3">
        <f>IF($A89="","",IF(COUNTIFS(控制措施表!$B:$B,$A89,控制措施表!$C:$C,$F89,控制措施表!$F:$F,"是")=0,IF(COUNTIFS(控制措施表!$B:$B,$A89,控制措施表!$C:$C,$F89)=0,"",MINIFS(控制措施表!$E:$E,控制措施表!$B:$B,$A89,控制措施表!$C:$C,$F89)),MINIFS(控制措施表!$E:$E,控制措施表!$B:$B,$A89,控制措施表!$C:$C,$F89,控制措施表!$F:$F,"是")))</f>
        <v/>
      </c>
      <c r="P89" s="21">
        <f>IF($A89="","",IF(N89="",0,VLOOKUP(N89,参数配置!$D$4:$E$8,2,FALSE)))</f>
        <v/>
      </c>
      <c r="Q89" s="20">
        <f>IF($A89="","",ROUND(O89*(1-P89),2))</f>
        <v/>
      </c>
      <c r="R89" s="3">
        <f>IF($A89="","",IF(Q89&gt;=参数配置!$B$12,"极高",IF(Q89&gt;=参数配置!$B$13,"高",IF(Q89&gt;=参数配置!$B$14,"中",IF(Q89&gt;=参数配置!$B$15,"低","极低")))))</f>
        <v/>
      </c>
      <c r="S89" s="3">
        <f>IF($A89="","",ROUND(M89,0))</f>
        <v/>
      </c>
      <c r="T89" s="3">
        <f>IF($A89="","",ROUND(N89,0))</f>
        <v/>
      </c>
      <c r="U89" s="3">
        <f>IF($A89="","",IF(R89="极高","每年必审",IF(R89="高","每年审计",IF(R89="中","两年一轮","按需抽查"))))</f>
        <v/>
      </c>
      <c r="V89" s="21">
        <f>IF($A89="","",IF(N89=0,"",(N89-Q89)/N89))</f>
        <v/>
      </c>
    </row>
    <row r="90">
      <c r="M90" s="20">
        <f>IF($A90="","",ROUND(MAX(SUMPRODUCT(H90:L90,IFERROR(VLOOKUP($C90,参数配置!$A$26:$F$38,{2,3,4,5,6},FALSE),VLOOKUP(参数配置!$A$26,参数配置!$A$26:$F$38,{2,3,4,5,6},FALSE))),参数配置!$E$13*MAX(H90:L90)),2))</f>
        <v/>
      </c>
      <c r="N90" s="20">
        <f>IF($A90="","",ROUND(G90*M90,2))</f>
        <v/>
      </c>
      <c r="O90" s="3">
        <f>IF($A90="","",IF(COUNTIFS(控制措施表!$B:$B,$A90,控制措施表!$C:$C,$F90,控制措施表!$F:$F,"是")=0,IF(COUNTIFS(控制措施表!$B:$B,$A90,控制措施表!$C:$C,$F90)=0,"",MINIFS(控制措施表!$E:$E,控制措施表!$B:$B,$A90,控制措施表!$C:$C,$F90)),MINIFS(控制措施表!$E:$E,控制措施表!$B:$B,$A90,控制措施表!$C:$C,$F90,控制措施表!$F:$F,"是")))</f>
        <v/>
      </c>
      <c r="P90" s="21">
        <f>IF($A90="","",IF(N90="",0,VLOOKUP(N90,参数配置!$D$4:$E$8,2,FALSE)))</f>
        <v/>
      </c>
      <c r="Q90" s="20">
        <f>IF($A90="","",ROUND(O90*(1-P90),2))</f>
        <v/>
      </c>
      <c r="R90" s="3">
        <f>IF($A90="","",IF(Q90&gt;=参数配置!$B$12,"极高",IF(Q90&gt;=参数配置!$B$13,"高",IF(Q90&gt;=参数配置!$B$14,"中",IF(Q90&gt;=参数配置!$B$15,"低","极低")))))</f>
        <v/>
      </c>
      <c r="S90" s="3">
        <f>IF($A90="","",ROUND(M90,0))</f>
        <v/>
      </c>
      <c r="T90" s="3">
        <f>IF($A90="","",ROUND(N90,0))</f>
        <v/>
      </c>
      <c r="U90" s="3">
        <f>IF($A90="","",IF(R90="极高","每年必审",IF(R90="高","每年审计",IF(R90="中","两年一轮","按需抽查"))))</f>
        <v/>
      </c>
      <c r="V90" s="21">
        <f>IF($A90="","",IF(N90=0,"",(N90-Q90)/N90))</f>
        <v/>
      </c>
    </row>
    <row r="91">
      <c r="M91" s="20">
        <f>IF($A91="","",ROUND(MAX(SUMPRODUCT(H91:L91,IFERROR(VLOOKUP($C91,参数配置!$A$26:$F$38,{2,3,4,5,6},FALSE),VLOOKUP(参数配置!$A$26,参数配置!$A$26:$F$38,{2,3,4,5,6},FALSE))),参数配置!$E$13*MAX(H91:L91)),2))</f>
        <v/>
      </c>
      <c r="N91" s="20">
        <f>IF($A91="","",ROUND(G91*M91,2))</f>
        <v/>
      </c>
      <c r="O91" s="3">
        <f>IF($A91="","",IF(COUNTIFS(控制措施表!$B:$B,$A91,控制措施表!$C:$C,$F91,控制措施表!$F:$F,"是")=0,IF(COUNTIFS(控制措施表!$B:$B,$A91,控制措施表!$C:$C,$F91)=0,"",MINIFS(控制措施表!$E:$E,控制措施表!$B:$B,$A91,控制措施表!$C:$C,$F91)),MINIFS(控制措施表!$E:$E,控制措施表!$B:$B,$A91,控制措施表!$C:$C,$F91,控制措施表!$F:$F,"是")))</f>
        <v/>
      </c>
      <c r="P91" s="21">
        <f>IF($A91="","",IF(N91="",0,VLOOKUP(N91,参数配置!$D$4:$E$8,2,FALSE)))</f>
        <v/>
      </c>
      <c r="Q91" s="20">
        <f>IF($A91="","",ROUND(O91*(1-P91),2))</f>
        <v/>
      </c>
      <c r="R91" s="3">
        <f>IF($A91="","",IF(Q91&gt;=参数配置!$B$12,"极高",IF(Q91&gt;=参数配置!$B$13,"高",IF(Q91&gt;=参数配置!$B$14,"中",IF(Q91&gt;=参数配置!$B$15,"低","极低")))))</f>
        <v/>
      </c>
      <c r="S91" s="3">
        <f>IF($A91="","",ROUND(M91,0))</f>
        <v/>
      </c>
      <c r="T91" s="3">
        <f>IF($A91="","",ROUND(N91,0))</f>
        <v/>
      </c>
      <c r="U91" s="3">
        <f>IF($A91="","",IF(R91="极高","每年必审",IF(R91="高","每年审计",IF(R91="中","两年一轮","按需抽查"))))</f>
        <v/>
      </c>
      <c r="V91" s="21">
        <f>IF($A91="","",IF(N91=0,"",(N91-Q91)/N91))</f>
        <v/>
      </c>
    </row>
    <row r="92">
      <c r="M92" s="20">
        <f>IF($A92="","",ROUND(MAX(SUMPRODUCT(H92:L92,IFERROR(VLOOKUP($C92,参数配置!$A$26:$F$38,{2,3,4,5,6},FALSE),VLOOKUP(参数配置!$A$26,参数配置!$A$26:$F$38,{2,3,4,5,6},FALSE))),参数配置!$E$13*MAX(H92:L92)),2))</f>
        <v/>
      </c>
      <c r="N92" s="20">
        <f>IF($A92="","",ROUND(G92*M92,2))</f>
        <v/>
      </c>
      <c r="O92" s="3">
        <f>IF($A92="","",IF(COUNTIFS(控制措施表!$B:$B,$A92,控制措施表!$C:$C,$F92,控制措施表!$F:$F,"是")=0,IF(COUNTIFS(控制措施表!$B:$B,$A92,控制措施表!$C:$C,$F92)=0,"",MINIFS(控制措施表!$E:$E,控制措施表!$B:$B,$A92,控制措施表!$C:$C,$F92)),MINIFS(控制措施表!$E:$E,控制措施表!$B:$B,$A92,控制措施表!$C:$C,$F92,控制措施表!$F:$F,"是")))</f>
        <v/>
      </c>
      <c r="P92" s="21">
        <f>IF($A92="","",IF(N92="",0,VLOOKUP(N92,参数配置!$D$4:$E$8,2,FALSE)))</f>
        <v/>
      </c>
      <c r="Q92" s="20">
        <f>IF($A92="","",ROUND(O92*(1-P92),2))</f>
        <v/>
      </c>
      <c r="R92" s="3">
        <f>IF($A92="","",IF(Q92&gt;=参数配置!$B$12,"极高",IF(Q92&gt;=参数配置!$B$13,"高",IF(Q92&gt;=参数配置!$B$14,"中",IF(Q92&gt;=参数配置!$B$15,"低","极低")))))</f>
        <v/>
      </c>
      <c r="S92" s="3">
        <f>IF($A92="","",ROUND(M92,0))</f>
        <v/>
      </c>
      <c r="T92" s="3">
        <f>IF($A92="","",ROUND(N92,0))</f>
        <v/>
      </c>
      <c r="U92" s="3">
        <f>IF($A92="","",IF(R92="极高","每年必审",IF(R92="高","每年审计",IF(R92="中","两年一轮","按需抽查"))))</f>
        <v/>
      </c>
      <c r="V92" s="21">
        <f>IF($A92="","",IF(N92=0,"",(N92-Q92)/N92))</f>
        <v/>
      </c>
    </row>
    <row r="93">
      <c r="M93" s="20">
        <f>IF($A93="","",ROUND(MAX(SUMPRODUCT(H93:L93,IFERROR(VLOOKUP($C93,参数配置!$A$26:$F$38,{2,3,4,5,6},FALSE),VLOOKUP(参数配置!$A$26,参数配置!$A$26:$F$38,{2,3,4,5,6},FALSE))),参数配置!$E$13*MAX(H93:L93)),2))</f>
        <v/>
      </c>
      <c r="N93" s="20">
        <f>IF($A93="","",ROUND(G93*M93,2))</f>
        <v/>
      </c>
      <c r="O93" s="3">
        <f>IF($A93="","",IF(COUNTIFS(控制措施表!$B:$B,$A93,控制措施表!$C:$C,$F93,控制措施表!$F:$F,"是")=0,IF(COUNTIFS(控制措施表!$B:$B,$A93,控制措施表!$C:$C,$F93)=0,"",MINIFS(控制措施表!$E:$E,控制措施表!$B:$B,$A93,控制措施表!$C:$C,$F93)),MINIFS(控制措施表!$E:$E,控制措施表!$B:$B,$A93,控制措施表!$C:$C,$F93,控制措施表!$F:$F,"是")))</f>
        <v/>
      </c>
      <c r="P93" s="21">
        <f>IF($A93="","",IF(N93="",0,VLOOKUP(N93,参数配置!$D$4:$E$8,2,FALSE)))</f>
        <v/>
      </c>
      <c r="Q93" s="20">
        <f>IF($A93="","",ROUND(O93*(1-P93),2))</f>
        <v/>
      </c>
      <c r="R93" s="3">
        <f>IF($A93="","",IF(Q93&gt;=参数配置!$B$12,"极高",IF(Q93&gt;=参数配置!$B$13,"高",IF(Q93&gt;=参数配置!$B$14,"中",IF(Q93&gt;=参数配置!$B$15,"低","极低")))))</f>
        <v/>
      </c>
      <c r="S93" s="3">
        <f>IF($A93="","",ROUND(M93,0))</f>
        <v/>
      </c>
      <c r="T93" s="3">
        <f>IF($A93="","",ROUND(N93,0))</f>
        <v/>
      </c>
      <c r="U93" s="3">
        <f>IF($A93="","",IF(R93="极高","每年必审",IF(R93="高","每年审计",IF(R93="中","两年一轮","按需抽查"))))</f>
        <v/>
      </c>
      <c r="V93" s="21">
        <f>IF($A93="","",IF(N93=0,"",(N93-Q93)/N93))</f>
        <v/>
      </c>
    </row>
    <row r="94">
      <c r="M94" s="20">
        <f>IF($A94="","",ROUND(MAX(SUMPRODUCT(H94:L94,IFERROR(VLOOKUP($C94,参数配置!$A$26:$F$38,{2,3,4,5,6},FALSE),VLOOKUP(参数配置!$A$26,参数配置!$A$26:$F$38,{2,3,4,5,6},FALSE))),参数配置!$E$13*MAX(H94:L94)),2))</f>
        <v/>
      </c>
      <c r="N94" s="20">
        <f>IF($A94="","",ROUND(G94*M94,2))</f>
        <v/>
      </c>
      <c r="O94" s="3">
        <f>IF($A94="","",IF(COUNTIFS(控制措施表!$B:$B,$A94,控制措施表!$C:$C,$F94,控制措施表!$F:$F,"是")=0,IF(COUNTIFS(控制措施表!$B:$B,$A94,控制措施表!$C:$C,$F94)=0,"",MINIFS(控制措施表!$E:$E,控制措施表!$B:$B,$A94,控制措施表!$C:$C,$F94)),MINIFS(控制措施表!$E:$E,控制措施表!$B:$B,$A94,控制措施表!$C:$C,$F94,控制措施表!$F:$F,"是")))</f>
        <v/>
      </c>
      <c r="P94" s="21">
        <f>IF($A94="","",IF(N94="",0,VLOOKUP(N94,参数配置!$D$4:$E$8,2,FALSE)))</f>
        <v/>
      </c>
      <c r="Q94" s="20">
        <f>IF($A94="","",ROUND(O94*(1-P94),2))</f>
        <v/>
      </c>
      <c r="R94" s="3">
        <f>IF($A94="","",IF(Q94&gt;=参数配置!$B$12,"极高",IF(Q94&gt;=参数配置!$B$13,"高",IF(Q94&gt;=参数配置!$B$14,"中",IF(Q94&gt;=参数配置!$B$15,"低","极低")))))</f>
        <v/>
      </c>
      <c r="S94" s="3">
        <f>IF($A94="","",ROUND(M94,0))</f>
        <v/>
      </c>
      <c r="T94" s="3">
        <f>IF($A94="","",ROUND(N94,0))</f>
        <v/>
      </c>
      <c r="U94" s="3">
        <f>IF($A94="","",IF(R94="极高","每年必审",IF(R94="高","每年审计",IF(R94="中","两年一轮","按需抽查"))))</f>
        <v/>
      </c>
      <c r="V94" s="21">
        <f>IF($A94="","",IF(N94=0,"",(N94-Q94)/N94))</f>
        <v/>
      </c>
    </row>
    <row r="95">
      <c r="M95" s="20">
        <f>IF($A95="","",ROUND(MAX(SUMPRODUCT(H95:L95,IFERROR(VLOOKUP($C95,参数配置!$A$26:$F$38,{2,3,4,5,6},FALSE),VLOOKUP(参数配置!$A$26,参数配置!$A$26:$F$38,{2,3,4,5,6},FALSE))),参数配置!$E$13*MAX(H95:L95)),2))</f>
        <v/>
      </c>
      <c r="N95" s="20">
        <f>IF($A95="","",ROUND(G95*M95,2))</f>
        <v/>
      </c>
      <c r="O95" s="3">
        <f>IF($A95="","",IF(COUNTIFS(控制措施表!$B:$B,$A95,控制措施表!$C:$C,$F95,控制措施表!$F:$F,"是")=0,IF(COUNTIFS(控制措施表!$B:$B,$A95,控制措施表!$C:$C,$F95)=0,"",MINIFS(控制措施表!$E:$E,控制措施表!$B:$B,$A95,控制措施表!$C:$C,$F95)),MINIFS(控制措施表!$E:$E,控制措施表!$B:$B,$A95,控制措施表!$C:$C,$F95,控制措施表!$F:$F,"是")))</f>
        <v/>
      </c>
      <c r="P95" s="21">
        <f>IF($A95="","",IF(N95="",0,VLOOKUP(N95,参数配置!$D$4:$E$8,2,FALSE)))</f>
        <v/>
      </c>
      <c r="Q95" s="20">
        <f>IF($A95="","",ROUND(O95*(1-P95),2))</f>
        <v/>
      </c>
      <c r="R95" s="3">
        <f>IF($A95="","",IF(Q95&gt;=参数配置!$B$12,"极高",IF(Q95&gt;=参数配置!$B$13,"高",IF(Q95&gt;=参数配置!$B$14,"中",IF(Q95&gt;=参数配置!$B$15,"低","极低")))))</f>
        <v/>
      </c>
      <c r="S95" s="3">
        <f>IF($A95="","",ROUND(M95,0))</f>
        <v/>
      </c>
      <c r="T95" s="3">
        <f>IF($A95="","",ROUND(N95,0))</f>
        <v/>
      </c>
      <c r="U95" s="3">
        <f>IF($A95="","",IF(R95="极高","每年必审",IF(R95="高","每年审计",IF(R95="中","两年一轮","按需抽查"))))</f>
        <v/>
      </c>
      <c r="V95" s="21">
        <f>IF($A95="","",IF(N95=0,"",(N95-Q95)/N95))</f>
        <v/>
      </c>
    </row>
    <row r="96">
      <c r="M96" s="20">
        <f>IF($A96="","",ROUND(MAX(SUMPRODUCT(H96:L96,IFERROR(VLOOKUP($C96,参数配置!$A$26:$F$38,{2,3,4,5,6},FALSE),VLOOKUP(参数配置!$A$26,参数配置!$A$26:$F$38,{2,3,4,5,6},FALSE))),参数配置!$E$13*MAX(H96:L96)),2))</f>
        <v/>
      </c>
      <c r="N96" s="20">
        <f>IF($A96="","",ROUND(G96*M96,2))</f>
        <v/>
      </c>
      <c r="O96" s="3">
        <f>IF($A96="","",IF(COUNTIFS(控制措施表!$B:$B,$A96,控制措施表!$C:$C,$F96,控制措施表!$F:$F,"是")=0,IF(COUNTIFS(控制措施表!$B:$B,$A96,控制措施表!$C:$C,$F96)=0,"",MINIFS(控制措施表!$E:$E,控制措施表!$B:$B,$A96,控制措施表!$C:$C,$F96)),MINIFS(控制措施表!$E:$E,控制措施表!$B:$B,$A96,控制措施表!$C:$C,$F96,控制措施表!$F:$F,"是")))</f>
        <v/>
      </c>
      <c r="P96" s="21">
        <f>IF($A96="","",IF(N96="",0,VLOOKUP(N96,参数配置!$D$4:$E$8,2,FALSE)))</f>
        <v/>
      </c>
      <c r="Q96" s="20">
        <f>IF($A96="","",ROUND(O96*(1-P96),2))</f>
        <v/>
      </c>
      <c r="R96" s="3">
        <f>IF($A96="","",IF(Q96&gt;=参数配置!$B$12,"极高",IF(Q96&gt;=参数配置!$B$13,"高",IF(Q96&gt;=参数配置!$B$14,"中",IF(Q96&gt;=参数配置!$B$15,"低","极低")))))</f>
        <v/>
      </c>
      <c r="S96" s="3">
        <f>IF($A96="","",ROUND(M96,0))</f>
        <v/>
      </c>
      <c r="T96" s="3">
        <f>IF($A96="","",ROUND(N96,0))</f>
        <v/>
      </c>
      <c r="U96" s="3">
        <f>IF($A96="","",IF(R96="极高","每年必审",IF(R96="高","每年审计",IF(R96="中","两年一轮","按需抽查"))))</f>
        <v/>
      </c>
      <c r="V96" s="21">
        <f>IF($A96="","",IF(N96=0,"",(N96-Q96)/N96))</f>
        <v/>
      </c>
    </row>
    <row r="97">
      <c r="M97" s="20">
        <f>IF($A97="","",ROUND(MAX(SUMPRODUCT(H97:L97,IFERROR(VLOOKUP($C97,参数配置!$A$26:$F$38,{2,3,4,5,6},FALSE),VLOOKUP(参数配置!$A$26,参数配置!$A$26:$F$38,{2,3,4,5,6},FALSE))),参数配置!$E$13*MAX(H97:L97)),2))</f>
        <v/>
      </c>
      <c r="N97" s="20">
        <f>IF($A97="","",ROUND(G97*M97,2))</f>
        <v/>
      </c>
      <c r="O97" s="3">
        <f>IF($A97="","",IF(COUNTIFS(控制措施表!$B:$B,$A97,控制措施表!$C:$C,$F97,控制措施表!$F:$F,"是")=0,IF(COUNTIFS(控制措施表!$B:$B,$A97,控制措施表!$C:$C,$F97)=0,"",MINIFS(控制措施表!$E:$E,控制措施表!$B:$B,$A97,控制措施表!$C:$C,$F97)),MINIFS(控制措施表!$E:$E,控制措施表!$B:$B,$A97,控制措施表!$C:$C,$F97,控制措施表!$F:$F,"是")))</f>
        <v/>
      </c>
      <c r="P97" s="21">
        <f>IF($A97="","",IF(N97="",0,VLOOKUP(N97,参数配置!$D$4:$E$8,2,FALSE)))</f>
        <v/>
      </c>
      <c r="Q97" s="20">
        <f>IF($A97="","",ROUND(O97*(1-P97),2))</f>
        <v/>
      </c>
      <c r="R97" s="3">
        <f>IF($A97="","",IF(Q97&gt;=参数配置!$B$12,"极高",IF(Q97&gt;=参数配置!$B$13,"高",IF(Q97&gt;=参数配置!$B$14,"中",IF(Q97&gt;=参数配置!$B$15,"低","极低")))))</f>
        <v/>
      </c>
      <c r="S97" s="3">
        <f>IF($A97="","",ROUND(M97,0))</f>
        <v/>
      </c>
      <c r="T97" s="3">
        <f>IF($A97="","",ROUND(N97,0))</f>
        <v/>
      </c>
      <c r="U97" s="3">
        <f>IF($A97="","",IF(R97="极高","每年必审",IF(R97="高","每年审计",IF(R97="中","两年一轮","按需抽查"))))</f>
        <v/>
      </c>
      <c r="V97" s="21">
        <f>IF($A97="","",IF(N97=0,"",(N97-Q97)/N97))</f>
        <v/>
      </c>
    </row>
    <row r="98">
      <c r="M98" s="20">
        <f>IF($A98="","",ROUND(MAX(SUMPRODUCT(H98:L98,IFERROR(VLOOKUP($C98,参数配置!$A$26:$F$38,{2,3,4,5,6},FALSE),VLOOKUP(参数配置!$A$26,参数配置!$A$26:$F$38,{2,3,4,5,6},FALSE))),参数配置!$E$13*MAX(H98:L98)),2))</f>
        <v/>
      </c>
      <c r="N98" s="20">
        <f>IF($A98="","",ROUND(G98*M98,2))</f>
        <v/>
      </c>
      <c r="O98" s="3">
        <f>IF($A98="","",IF(COUNTIFS(控制措施表!$B:$B,$A98,控制措施表!$C:$C,$F98,控制措施表!$F:$F,"是")=0,IF(COUNTIFS(控制措施表!$B:$B,$A98,控制措施表!$C:$C,$F98)=0,"",MINIFS(控制措施表!$E:$E,控制措施表!$B:$B,$A98,控制措施表!$C:$C,$F98)),MINIFS(控制措施表!$E:$E,控制措施表!$B:$B,$A98,控制措施表!$C:$C,$F98,控制措施表!$F:$F,"是")))</f>
        <v/>
      </c>
      <c r="P98" s="21">
        <f>IF($A98="","",IF(N98="",0,VLOOKUP(N98,参数配置!$D$4:$E$8,2,FALSE)))</f>
        <v/>
      </c>
      <c r="Q98" s="20">
        <f>IF($A98="","",ROUND(O98*(1-P98),2))</f>
        <v/>
      </c>
      <c r="R98" s="3">
        <f>IF($A98="","",IF(Q98&gt;=参数配置!$B$12,"极高",IF(Q98&gt;=参数配置!$B$13,"高",IF(Q98&gt;=参数配置!$B$14,"中",IF(Q98&gt;=参数配置!$B$15,"低","极低")))))</f>
        <v/>
      </c>
      <c r="S98" s="3">
        <f>IF($A98="","",ROUND(M98,0))</f>
        <v/>
      </c>
      <c r="T98" s="3">
        <f>IF($A98="","",ROUND(N98,0))</f>
        <v/>
      </c>
      <c r="U98" s="3">
        <f>IF($A98="","",IF(R98="极高","每年必审",IF(R98="高","每年审计",IF(R98="中","两年一轮","按需抽查"))))</f>
        <v/>
      </c>
      <c r="V98" s="21">
        <f>IF($A98="","",IF(N98=0,"",(N98-Q98)/N98))</f>
        <v/>
      </c>
    </row>
    <row r="99">
      <c r="M99" s="20">
        <f>IF($A99="","",ROUND(MAX(SUMPRODUCT(H99:L99,IFERROR(VLOOKUP($C99,参数配置!$A$26:$F$38,{2,3,4,5,6},FALSE),VLOOKUP(参数配置!$A$26,参数配置!$A$26:$F$38,{2,3,4,5,6},FALSE))),参数配置!$E$13*MAX(H99:L99)),2))</f>
        <v/>
      </c>
      <c r="N99" s="20">
        <f>IF($A99="","",ROUND(G99*M99,2))</f>
        <v/>
      </c>
      <c r="O99" s="3">
        <f>IF($A99="","",IF(COUNTIFS(控制措施表!$B:$B,$A99,控制措施表!$C:$C,$F99,控制措施表!$F:$F,"是")=0,IF(COUNTIFS(控制措施表!$B:$B,$A99,控制措施表!$C:$C,$F99)=0,"",MINIFS(控制措施表!$E:$E,控制措施表!$B:$B,$A99,控制措施表!$C:$C,$F99)),MINIFS(控制措施表!$E:$E,控制措施表!$B:$B,$A99,控制措施表!$C:$C,$F99,控制措施表!$F:$F,"是")))</f>
        <v/>
      </c>
      <c r="P99" s="21">
        <f>IF($A99="","",IF(N99="",0,VLOOKUP(N99,参数配置!$D$4:$E$8,2,FALSE)))</f>
        <v/>
      </c>
      <c r="Q99" s="20">
        <f>IF($A99="","",ROUND(O99*(1-P99),2))</f>
        <v/>
      </c>
      <c r="R99" s="3">
        <f>IF($A99="","",IF(Q99&gt;=参数配置!$B$12,"极高",IF(Q99&gt;=参数配置!$B$13,"高",IF(Q99&gt;=参数配置!$B$14,"中",IF(Q99&gt;=参数配置!$B$15,"低","极低")))))</f>
        <v/>
      </c>
      <c r="S99" s="3">
        <f>IF($A99="","",ROUND(M99,0))</f>
        <v/>
      </c>
      <c r="T99" s="3">
        <f>IF($A99="","",ROUND(N99,0))</f>
        <v/>
      </c>
      <c r="U99" s="3">
        <f>IF($A99="","",IF(R99="极高","每年必审",IF(R99="高","每年审计",IF(R99="中","两年一轮","按需抽查"))))</f>
        <v/>
      </c>
      <c r="V99" s="21">
        <f>IF($A99="","",IF(N99=0,"",(N99-Q99)/N99))</f>
        <v/>
      </c>
    </row>
    <row r="100">
      <c r="M100" s="20">
        <f>IF($A100="","",ROUND(MAX(SUMPRODUCT(H100:L100,IFERROR(VLOOKUP($C100,参数配置!$A$26:$F$38,{2,3,4,5,6},FALSE),VLOOKUP(参数配置!$A$26,参数配置!$A$26:$F$38,{2,3,4,5,6},FALSE))),参数配置!$E$13*MAX(H100:L100)),2))</f>
        <v/>
      </c>
      <c r="N100" s="20">
        <f>IF($A100="","",ROUND(G100*M100,2))</f>
        <v/>
      </c>
      <c r="O100" s="3">
        <f>IF($A100="","",IF(COUNTIFS(控制措施表!$B:$B,$A100,控制措施表!$C:$C,$F100,控制措施表!$F:$F,"是")=0,IF(COUNTIFS(控制措施表!$B:$B,$A100,控制措施表!$C:$C,$F100)=0,"",MINIFS(控制措施表!$E:$E,控制措施表!$B:$B,$A100,控制措施表!$C:$C,$F100)),MINIFS(控制措施表!$E:$E,控制措施表!$B:$B,$A100,控制措施表!$C:$C,$F100,控制措施表!$F:$F,"是")))</f>
        <v/>
      </c>
      <c r="P100" s="21">
        <f>IF($A100="","",IF(N100="",0,VLOOKUP(N100,参数配置!$D$4:$E$8,2,FALSE)))</f>
        <v/>
      </c>
      <c r="Q100" s="20">
        <f>IF($A100="","",ROUND(O100*(1-P100),2))</f>
        <v/>
      </c>
      <c r="R100" s="3">
        <f>IF($A100="","",IF(Q100&gt;=参数配置!$B$12,"极高",IF(Q100&gt;=参数配置!$B$13,"高",IF(Q100&gt;=参数配置!$B$14,"中",IF(Q100&gt;=参数配置!$B$15,"低","极低")))))</f>
        <v/>
      </c>
      <c r="S100" s="3">
        <f>IF($A100="","",ROUND(M100,0))</f>
        <v/>
      </c>
      <c r="T100" s="3">
        <f>IF($A100="","",ROUND(N100,0))</f>
        <v/>
      </c>
      <c r="U100" s="3">
        <f>IF($A100="","",IF(R100="极高","每年必审",IF(R100="高","每年审计",IF(R100="中","两年一轮","按需抽查"))))</f>
        <v/>
      </c>
      <c r="V100" s="21">
        <f>IF($A100="","",IF(N100=0,"",(N100-Q100)/N100))</f>
        <v/>
      </c>
    </row>
    <row r="101">
      <c r="M101" s="20">
        <f>IF($A101="","",ROUND(MAX(SUMPRODUCT(H101:L101,IFERROR(VLOOKUP($C101,参数配置!$A$26:$F$38,{2,3,4,5,6},FALSE),VLOOKUP(参数配置!$A$26,参数配置!$A$26:$F$38,{2,3,4,5,6},FALSE))),参数配置!$E$13*MAX(H101:L101)),2))</f>
        <v/>
      </c>
      <c r="N101" s="20">
        <f>IF($A101="","",ROUND(G101*M101,2))</f>
        <v/>
      </c>
      <c r="O101" s="3">
        <f>IF($A101="","",IF(COUNTIFS(控制措施表!$B:$B,$A101,控制措施表!$C:$C,$F101,控制措施表!$F:$F,"是")=0,IF(COUNTIFS(控制措施表!$B:$B,$A101,控制措施表!$C:$C,$F101)=0,"",MINIFS(控制措施表!$E:$E,控制措施表!$B:$B,$A101,控制措施表!$C:$C,$F101)),MINIFS(控制措施表!$E:$E,控制措施表!$B:$B,$A101,控制措施表!$C:$C,$F101,控制措施表!$F:$F,"是")))</f>
        <v/>
      </c>
      <c r="P101" s="21">
        <f>IF($A101="","",IF(N101="",0,VLOOKUP(N101,参数配置!$D$4:$E$8,2,FALSE)))</f>
        <v/>
      </c>
      <c r="Q101" s="20">
        <f>IF($A101="","",ROUND(O101*(1-P101),2))</f>
        <v/>
      </c>
      <c r="R101" s="3">
        <f>IF($A101="","",IF(Q101&gt;=参数配置!$B$12,"极高",IF(Q101&gt;=参数配置!$B$13,"高",IF(Q101&gt;=参数配置!$B$14,"中",IF(Q101&gt;=参数配置!$B$15,"低","极低")))))</f>
        <v/>
      </c>
      <c r="S101" s="3">
        <f>IF($A101="","",ROUND(M101,0))</f>
        <v/>
      </c>
      <c r="T101" s="3">
        <f>IF($A101="","",ROUND(N101,0))</f>
        <v/>
      </c>
      <c r="U101" s="3">
        <f>IF($A101="","",IF(R101="极高","每年必审",IF(R101="高","每年审计",IF(R101="中","两年一轮","按需抽查"))))</f>
        <v/>
      </c>
      <c r="V101" s="21">
        <f>IF($A101="","",IF(N101=0,"",(N101-Q101)/N101))</f>
        <v/>
      </c>
    </row>
    <row r="102">
      <c r="M102" s="20">
        <f>IF($A102="","",ROUND(MAX(SUMPRODUCT(H102:L102,IFERROR(VLOOKUP($C102,参数配置!$A$26:$F$38,{2,3,4,5,6},FALSE),VLOOKUP(参数配置!$A$26,参数配置!$A$26:$F$38,{2,3,4,5,6},FALSE))),参数配置!$E$13*MAX(H102:L102)),2))</f>
        <v/>
      </c>
      <c r="N102" s="20">
        <f>IF($A102="","",ROUND(G102*M102,2))</f>
        <v/>
      </c>
      <c r="O102" s="3">
        <f>IF($A102="","",IF(COUNTIFS(控制措施表!$B:$B,$A102,控制措施表!$C:$C,$F102,控制措施表!$F:$F,"是")=0,IF(COUNTIFS(控制措施表!$B:$B,$A102,控制措施表!$C:$C,$F102)=0,"",MINIFS(控制措施表!$E:$E,控制措施表!$B:$B,$A102,控制措施表!$C:$C,$F102)),MINIFS(控制措施表!$E:$E,控制措施表!$B:$B,$A102,控制措施表!$C:$C,$F102,控制措施表!$F:$F,"是")))</f>
        <v/>
      </c>
      <c r="P102" s="21">
        <f>IF($A102="","",IF(N102="",0,VLOOKUP(N102,参数配置!$D$4:$E$8,2,FALSE)))</f>
        <v/>
      </c>
      <c r="Q102" s="20">
        <f>IF($A102="","",ROUND(O102*(1-P102),2))</f>
        <v/>
      </c>
      <c r="R102" s="3">
        <f>IF($A102="","",IF(Q102&gt;=参数配置!$B$12,"极高",IF(Q102&gt;=参数配置!$B$13,"高",IF(Q102&gt;=参数配置!$B$14,"中",IF(Q102&gt;=参数配置!$B$15,"低","极低")))))</f>
        <v/>
      </c>
      <c r="S102" s="3">
        <f>IF($A102="","",ROUND(M102,0))</f>
        <v/>
      </c>
      <c r="T102" s="3">
        <f>IF($A102="","",ROUND(N102,0))</f>
        <v/>
      </c>
      <c r="U102" s="3">
        <f>IF($A102="","",IF(R102="极高","每年必审",IF(R102="高","每年审计",IF(R102="中","两年一轮","按需抽查"))))</f>
        <v/>
      </c>
      <c r="V102" s="21">
        <f>IF($A102="","",IF(N102=0,"",(N102-Q102)/N102))</f>
        <v/>
      </c>
    </row>
    <row r="103">
      <c r="M103" s="20">
        <f>IF($A103="","",ROUND(MAX(SUMPRODUCT(H103:L103,IFERROR(VLOOKUP($C103,参数配置!$A$26:$F$38,{2,3,4,5,6},FALSE),VLOOKUP(参数配置!$A$26,参数配置!$A$26:$F$38,{2,3,4,5,6},FALSE))),参数配置!$E$13*MAX(H103:L103)),2))</f>
        <v/>
      </c>
      <c r="N103" s="20">
        <f>IF($A103="","",ROUND(G103*M103,2))</f>
        <v/>
      </c>
      <c r="O103" s="3">
        <f>IF($A103="","",IF(COUNTIFS(控制措施表!$B:$B,$A103,控制措施表!$C:$C,$F103,控制措施表!$F:$F,"是")=0,IF(COUNTIFS(控制措施表!$B:$B,$A103,控制措施表!$C:$C,$F103)=0,"",MINIFS(控制措施表!$E:$E,控制措施表!$B:$B,$A103,控制措施表!$C:$C,$F103)),MINIFS(控制措施表!$E:$E,控制措施表!$B:$B,$A103,控制措施表!$C:$C,$F103,控制措施表!$F:$F,"是")))</f>
        <v/>
      </c>
      <c r="P103" s="21">
        <f>IF($A103="","",IF(N103="",0,VLOOKUP(N103,参数配置!$D$4:$E$8,2,FALSE)))</f>
        <v/>
      </c>
      <c r="Q103" s="20">
        <f>IF($A103="","",ROUND(O103*(1-P103),2))</f>
        <v/>
      </c>
      <c r="R103" s="3">
        <f>IF($A103="","",IF(Q103&gt;=参数配置!$B$12,"极高",IF(Q103&gt;=参数配置!$B$13,"高",IF(Q103&gt;=参数配置!$B$14,"中",IF(Q103&gt;=参数配置!$B$15,"低","极低")))))</f>
        <v/>
      </c>
      <c r="S103" s="3">
        <f>IF($A103="","",ROUND(M103,0))</f>
        <v/>
      </c>
      <c r="T103" s="3">
        <f>IF($A103="","",ROUND(N103,0))</f>
        <v/>
      </c>
      <c r="U103" s="3">
        <f>IF($A103="","",IF(R103="极高","每年必审",IF(R103="高","每年审计",IF(R103="中","两年一轮","按需抽查"))))</f>
        <v/>
      </c>
      <c r="V103" s="21">
        <f>IF($A103="","",IF(N103=0,"",(N103-Q103)/N103))</f>
        <v/>
      </c>
    </row>
    <row r="104">
      <c r="M104" s="20">
        <f>IF($A104="","",ROUND(MAX(SUMPRODUCT(H104:L104,IFERROR(VLOOKUP($C104,参数配置!$A$26:$F$38,{2,3,4,5,6},FALSE),VLOOKUP(参数配置!$A$26,参数配置!$A$26:$F$38,{2,3,4,5,6},FALSE))),参数配置!$E$13*MAX(H104:L104)),2))</f>
        <v/>
      </c>
      <c r="N104" s="20">
        <f>IF($A104="","",ROUND(G104*M104,2))</f>
        <v/>
      </c>
      <c r="O104" s="3">
        <f>IF($A104="","",IF(COUNTIFS(控制措施表!$B:$B,$A104,控制措施表!$C:$C,$F104,控制措施表!$F:$F,"是")=0,IF(COUNTIFS(控制措施表!$B:$B,$A104,控制措施表!$C:$C,$F104)=0,"",MINIFS(控制措施表!$E:$E,控制措施表!$B:$B,$A104,控制措施表!$C:$C,$F104)),MINIFS(控制措施表!$E:$E,控制措施表!$B:$B,$A104,控制措施表!$C:$C,$F104,控制措施表!$F:$F,"是")))</f>
        <v/>
      </c>
      <c r="P104" s="21">
        <f>IF($A104="","",IF(N104="",0,VLOOKUP(N104,参数配置!$D$4:$E$8,2,FALSE)))</f>
        <v/>
      </c>
      <c r="Q104" s="20">
        <f>IF($A104="","",ROUND(O104*(1-P104),2))</f>
        <v/>
      </c>
      <c r="R104" s="3">
        <f>IF($A104="","",IF(Q104&gt;=参数配置!$B$12,"极高",IF(Q104&gt;=参数配置!$B$13,"高",IF(Q104&gt;=参数配置!$B$14,"中",IF(Q104&gt;=参数配置!$B$15,"低","极低")))))</f>
        <v/>
      </c>
      <c r="S104" s="3">
        <f>IF($A104="","",ROUND(M104,0))</f>
        <v/>
      </c>
      <c r="T104" s="3">
        <f>IF($A104="","",ROUND(N104,0))</f>
        <v/>
      </c>
      <c r="U104" s="3">
        <f>IF($A104="","",IF(R104="极高","每年必审",IF(R104="高","每年审计",IF(R104="中","两年一轮","按需抽查"))))</f>
        <v/>
      </c>
      <c r="V104" s="21">
        <f>IF($A104="","",IF(N104=0,"",(N104-Q104)/N104))</f>
        <v/>
      </c>
    </row>
    <row r="105">
      <c r="M105" s="20">
        <f>IF($A105="","",ROUND(MAX(SUMPRODUCT(H105:L105,IFERROR(VLOOKUP($C105,参数配置!$A$26:$F$38,{2,3,4,5,6},FALSE),VLOOKUP(参数配置!$A$26,参数配置!$A$26:$F$38,{2,3,4,5,6},FALSE))),参数配置!$E$13*MAX(H105:L105)),2))</f>
        <v/>
      </c>
      <c r="N105" s="20">
        <f>IF($A105="","",ROUND(G105*M105,2))</f>
        <v/>
      </c>
      <c r="O105" s="3">
        <f>IF($A105="","",IF(COUNTIFS(控制措施表!$B:$B,$A105,控制措施表!$C:$C,$F105,控制措施表!$F:$F,"是")=0,IF(COUNTIFS(控制措施表!$B:$B,$A105,控制措施表!$C:$C,$F105)=0,"",MINIFS(控制措施表!$E:$E,控制措施表!$B:$B,$A105,控制措施表!$C:$C,$F105)),MINIFS(控制措施表!$E:$E,控制措施表!$B:$B,$A105,控制措施表!$C:$C,$F105,控制措施表!$F:$F,"是")))</f>
        <v/>
      </c>
      <c r="P105" s="21">
        <f>IF($A105="","",IF(N105="",0,VLOOKUP(N105,参数配置!$D$4:$E$8,2,FALSE)))</f>
        <v/>
      </c>
      <c r="Q105" s="20">
        <f>IF($A105="","",ROUND(O105*(1-P105),2))</f>
        <v/>
      </c>
      <c r="R105" s="3">
        <f>IF($A105="","",IF(Q105&gt;=参数配置!$B$12,"极高",IF(Q105&gt;=参数配置!$B$13,"高",IF(Q105&gt;=参数配置!$B$14,"中",IF(Q105&gt;=参数配置!$B$15,"低","极低")))))</f>
        <v/>
      </c>
      <c r="S105" s="3">
        <f>IF($A105="","",ROUND(M105,0))</f>
        <v/>
      </c>
      <c r="T105" s="3">
        <f>IF($A105="","",ROUND(N105,0))</f>
        <v/>
      </c>
      <c r="U105" s="3">
        <f>IF($A105="","",IF(R105="极高","每年必审",IF(R105="高","每年审计",IF(R105="中","两年一轮","按需抽查"))))</f>
        <v/>
      </c>
      <c r="V105" s="21">
        <f>IF($A105="","",IF(N105=0,"",(N105-Q105)/N105))</f>
        <v/>
      </c>
    </row>
    <row r="106">
      <c r="M106" s="20">
        <f>IF($A106="","",ROUND(MAX(SUMPRODUCT(H106:L106,IFERROR(VLOOKUP($C106,参数配置!$A$26:$F$38,{2,3,4,5,6},FALSE),VLOOKUP(参数配置!$A$26,参数配置!$A$26:$F$38,{2,3,4,5,6},FALSE))),参数配置!$E$13*MAX(H106:L106)),2))</f>
        <v/>
      </c>
      <c r="N106" s="20">
        <f>IF($A106="","",ROUND(G106*M106,2))</f>
        <v/>
      </c>
      <c r="O106" s="3">
        <f>IF($A106="","",IF(COUNTIFS(控制措施表!$B:$B,$A106,控制措施表!$C:$C,$F106,控制措施表!$F:$F,"是")=0,IF(COUNTIFS(控制措施表!$B:$B,$A106,控制措施表!$C:$C,$F106)=0,"",MINIFS(控制措施表!$E:$E,控制措施表!$B:$B,$A106,控制措施表!$C:$C,$F106)),MINIFS(控制措施表!$E:$E,控制措施表!$B:$B,$A106,控制措施表!$C:$C,$F106,控制措施表!$F:$F,"是")))</f>
        <v/>
      </c>
      <c r="P106" s="21">
        <f>IF($A106="","",IF(N106="",0,VLOOKUP(N106,参数配置!$D$4:$E$8,2,FALSE)))</f>
        <v/>
      </c>
      <c r="Q106" s="20">
        <f>IF($A106="","",ROUND(O106*(1-P106),2))</f>
        <v/>
      </c>
      <c r="R106" s="3">
        <f>IF($A106="","",IF(Q106&gt;=参数配置!$B$12,"极高",IF(Q106&gt;=参数配置!$B$13,"高",IF(Q106&gt;=参数配置!$B$14,"中",IF(Q106&gt;=参数配置!$B$15,"低","极低")))))</f>
        <v/>
      </c>
      <c r="S106" s="3">
        <f>IF($A106="","",ROUND(M106,0))</f>
        <v/>
      </c>
      <c r="T106" s="3">
        <f>IF($A106="","",ROUND(N106,0))</f>
        <v/>
      </c>
      <c r="U106" s="3">
        <f>IF($A106="","",IF(R106="极高","每年必审",IF(R106="高","每年审计",IF(R106="中","两年一轮","按需抽查"))))</f>
        <v/>
      </c>
      <c r="V106" s="21">
        <f>IF($A106="","",IF(N106=0,"",(N106-Q106)/N106))</f>
        <v/>
      </c>
    </row>
    <row r="107">
      <c r="M107" s="20">
        <f>IF($A107="","",ROUND(MAX(SUMPRODUCT(H107:L107,IFERROR(VLOOKUP($C107,参数配置!$A$26:$F$38,{2,3,4,5,6},FALSE),VLOOKUP(参数配置!$A$26,参数配置!$A$26:$F$38,{2,3,4,5,6},FALSE))),参数配置!$E$13*MAX(H107:L107)),2))</f>
        <v/>
      </c>
      <c r="N107" s="20">
        <f>IF($A107="","",ROUND(G107*M107,2))</f>
        <v/>
      </c>
      <c r="O107" s="3">
        <f>IF($A107="","",IF(COUNTIFS(控制措施表!$B:$B,$A107,控制措施表!$C:$C,$F107,控制措施表!$F:$F,"是")=0,IF(COUNTIFS(控制措施表!$B:$B,$A107,控制措施表!$C:$C,$F107)=0,"",MINIFS(控制措施表!$E:$E,控制措施表!$B:$B,$A107,控制措施表!$C:$C,$F107)),MINIFS(控制措施表!$E:$E,控制措施表!$B:$B,$A107,控制措施表!$C:$C,$F107,控制措施表!$F:$F,"是")))</f>
        <v/>
      </c>
      <c r="P107" s="21">
        <f>IF($A107="","",IF(N107="",0,VLOOKUP(N107,参数配置!$D$4:$E$8,2,FALSE)))</f>
        <v/>
      </c>
      <c r="Q107" s="20">
        <f>IF($A107="","",ROUND(O107*(1-P107),2))</f>
        <v/>
      </c>
      <c r="R107" s="3">
        <f>IF($A107="","",IF(Q107&gt;=参数配置!$B$12,"极高",IF(Q107&gt;=参数配置!$B$13,"高",IF(Q107&gt;=参数配置!$B$14,"中",IF(Q107&gt;=参数配置!$B$15,"低","极低")))))</f>
        <v/>
      </c>
      <c r="S107" s="3">
        <f>IF($A107="","",ROUND(M107,0))</f>
        <v/>
      </c>
      <c r="T107" s="3">
        <f>IF($A107="","",ROUND(N107,0))</f>
        <v/>
      </c>
      <c r="U107" s="3">
        <f>IF($A107="","",IF(R107="极高","每年必审",IF(R107="高","每年审计",IF(R107="中","两年一轮","按需抽查"))))</f>
        <v/>
      </c>
      <c r="V107" s="21">
        <f>IF($A107="","",IF(N107=0,"",(N107-Q107)/N107))</f>
        <v/>
      </c>
    </row>
    <row r="108">
      <c r="M108" s="20">
        <f>IF($A108="","",ROUND(MAX(SUMPRODUCT(H108:L108,IFERROR(VLOOKUP($C108,参数配置!$A$26:$F$38,{2,3,4,5,6},FALSE),VLOOKUP(参数配置!$A$26,参数配置!$A$26:$F$38,{2,3,4,5,6},FALSE))),参数配置!$E$13*MAX(H108:L108)),2))</f>
        <v/>
      </c>
      <c r="N108" s="20">
        <f>IF($A108="","",ROUND(G108*M108,2))</f>
        <v/>
      </c>
      <c r="O108" s="3">
        <f>IF($A108="","",IF(COUNTIFS(控制措施表!$B:$B,$A108,控制措施表!$C:$C,$F108,控制措施表!$F:$F,"是")=0,IF(COUNTIFS(控制措施表!$B:$B,$A108,控制措施表!$C:$C,$F108)=0,"",MINIFS(控制措施表!$E:$E,控制措施表!$B:$B,$A108,控制措施表!$C:$C,$F108)),MINIFS(控制措施表!$E:$E,控制措施表!$B:$B,$A108,控制措施表!$C:$C,$F108,控制措施表!$F:$F,"是")))</f>
        <v/>
      </c>
      <c r="P108" s="21">
        <f>IF($A108="","",IF(N108="",0,VLOOKUP(N108,参数配置!$D$4:$E$8,2,FALSE)))</f>
        <v/>
      </c>
      <c r="Q108" s="20">
        <f>IF($A108="","",ROUND(O108*(1-P108),2))</f>
        <v/>
      </c>
      <c r="R108" s="3">
        <f>IF($A108="","",IF(Q108&gt;=参数配置!$B$12,"极高",IF(Q108&gt;=参数配置!$B$13,"高",IF(Q108&gt;=参数配置!$B$14,"中",IF(Q108&gt;=参数配置!$B$15,"低","极低")))))</f>
        <v/>
      </c>
      <c r="S108" s="3">
        <f>IF($A108="","",ROUND(M108,0))</f>
        <v/>
      </c>
      <c r="T108" s="3">
        <f>IF($A108="","",ROUND(N108,0))</f>
        <v/>
      </c>
      <c r="U108" s="3">
        <f>IF($A108="","",IF(R108="极高","每年必审",IF(R108="高","每年审计",IF(R108="中","两年一轮","按需抽查"))))</f>
        <v/>
      </c>
      <c r="V108" s="21">
        <f>IF($A108="","",IF(N108=0,"",(N108-Q108)/N108))</f>
        <v/>
      </c>
    </row>
    <row r="109">
      <c r="M109" s="20">
        <f>IF($A109="","",ROUND(MAX(SUMPRODUCT(H109:L109,IFERROR(VLOOKUP($C109,参数配置!$A$26:$F$38,{2,3,4,5,6},FALSE),VLOOKUP(参数配置!$A$26,参数配置!$A$26:$F$38,{2,3,4,5,6},FALSE))),参数配置!$E$13*MAX(H109:L109)),2))</f>
        <v/>
      </c>
      <c r="N109" s="20">
        <f>IF($A109="","",ROUND(G109*M109,2))</f>
        <v/>
      </c>
      <c r="O109" s="3">
        <f>IF($A109="","",IF(COUNTIFS(控制措施表!$B:$B,$A109,控制措施表!$C:$C,$F109,控制措施表!$F:$F,"是")=0,IF(COUNTIFS(控制措施表!$B:$B,$A109,控制措施表!$C:$C,$F109)=0,"",MINIFS(控制措施表!$E:$E,控制措施表!$B:$B,$A109,控制措施表!$C:$C,$F109)),MINIFS(控制措施表!$E:$E,控制措施表!$B:$B,$A109,控制措施表!$C:$C,$F109,控制措施表!$F:$F,"是")))</f>
        <v/>
      </c>
      <c r="P109" s="21">
        <f>IF($A109="","",IF(N109="",0,VLOOKUP(N109,参数配置!$D$4:$E$8,2,FALSE)))</f>
        <v/>
      </c>
      <c r="Q109" s="20">
        <f>IF($A109="","",ROUND(O109*(1-P109),2))</f>
        <v/>
      </c>
      <c r="R109" s="3">
        <f>IF($A109="","",IF(Q109&gt;=参数配置!$B$12,"极高",IF(Q109&gt;=参数配置!$B$13,"高",IF(Q109&gt;=参数配置!$B$14,"中",IF(Q109&gt;=参数配置!$B$15,"低","极低")))))</f>
        <v/>
      </c>
      <c r="S109" s="3">
        <f>IF($A109="","",ROUND(M109,0))</f>
        <v/>
      </c>
      <c r="T109" s="3">
        <f>IF($A109="","",ROUND(N109,0))</f>
        <v/>
      </c>
      <c r="U109" s="3">
        <f>IF($A109="","",IF(R109="极高","每年必审",IF(R109="高","每年审计",IF(R109="中","两年一轮","按需抽查"))))</f>
        <v/>
      </c>
      <c r="V109" s="21">
        <f>IF($A109="","",IF(N109=0,"",(N109-Q109)/N109))</f>
        <v/>
      </c>
    </row>
    <row r="110">
      <c r="M110" s="20">
        <f>IF($A110="","",ROUND(MAX(SUMPRODUCT(H110:L110,IFERROR(VLOOKUP($C110,参数配置!$A$26:$F$38,{2,3,4,5,6},FALSE),VLOOKUP(参数配置!$A$26,参数配置!$A$26:$F$38,{2,3,4,5,6},FALSE))),参数配置!$E$13*MAX(H110:L110)),2))</f>
        <v/>
      </c>
      <c r="N110" s="20">
        <f>IF($A110="","",ROUND(G110*M110,2))</f>
        <v/>
      </c>
      <c r="O110" s="3">
        <f>IF($A110="","",IF(COUNTIFS(控制措施表!$B:$B,$A110,控制措施表!$C:$C,$F110,控制措施表!$F:$F,"是")=0,IF(COUNTIFS(控制措施表!$B:$B,$A110,控制措施表!$C:$C,$F110)=0,"",MINIFS(控制措施表!$E:$E,控制措施表!$B:$B,$A110,控制措施表!$C:$C,$F110)),MINIFS(控制措施表!$E:$E,控制措施表!$B:$B,$A110,控制措施表!$C:$C,$F110,控制措施表!$F:$F,"是")))</f>
        <v/>
      </c>
      <c r="P110" s="21">
        <f>IF($A110="","",IF(N110="",0,VLOOKUP(N110,参数配置!$D$4:$E$8,2,FALSE)))</f>
        <v/>
      </c>
      <c r="Q110" s="20">
        <f>IF($A110="","",ROUND(O110*(1-P110),2))</f>
        <v/>
      </c>
      <c r="R110" s="3">
        <f>IF($A110="","",IF(Q110&gt;=参数配置!$B$12,"极高",IF(Q110&gt;=参数配置!$B$13,"高",IF(Q110&gt;=参数配置!$B$14,"中",IF(Q110&gt;=参数配置!$B$15,"低","极低")))))</f>
        <v/>
      </c>
      <c r="S110" s="3">
        <f>IF($A110="","",ROUND(M110,0))</f>
        <v/>
      </c>
      <c r="T110" s="3">
        <f>IF($A110="","",ROUND(N110,0))</f>
        <v/>
      </c>
      <c r="U110" s="3">
        <f>IF($A110="","",IF(R110="极高","每年必审",IF(R110="高","每年审计",IF(R110="中","两年一轮","按需抽查"))))</f>
        <v/>
      </c>
      <c r="V110" s="21">
        <f>IF($A110="","",IF(N110=0,"",(N110-Q110)/N110))</f>
        <v/>
      </c>
    </row>
    <row r="111">
      <c r="M111" s="20">
        <f>IF($A111="","",ROUND(MAX(SUMPRODUCT(H111:L111,IFERROR(VLOOKUP($C111,参数配置!$A$26:$F$38,{2,3,4,5,6},FALSE),VLOOKUP(参数配置!$A$26,参数配置!$A$26:$F$38,{2,3,4,5,6},FALSE))),参数配置!$E$13*MAX(H111:L111)),2))</f>
        <v/>
      </c>
      <c r="N111" s="20">
        <f>IF($A111="","",ROUND(G111*M111,2))</f>
        <v/>
      </c>
      <c r="O111" s="3">
        <f>IF($A111="","",IF(COUNTIFS(控制措施表!$B:$B,$A111,控制措施表!$C:$C,$F111,控制措施表!$F:$F,"是")=0,IF(COUNTIFS(控制措施表!$B:$B,$A111,控制措施表!$C:$C,$F111)=0,"",MINIFS(控制措施表!$E:$E,控制措施表!$B:$B,$A111,控制措施表!$C:$C,$F111)),MINIFS(控制措施表!$E:$E,控制措施表!$B:$B,$A111,控制措施表!$C:$C,$F111,控制措施表!$F:$F,"是")))</f>
        <v/>
      </c>
      <c r="P111" s="21">
        <f>IF($A111="","",IF(N111="",0,VLOOKUP(N111,参数配置!$D$4:$E$8,2,FALSE)))</f>
        <v/>
      </c>
      <c r="Q111" s="20">
        <f>IF($A111="","",ROUND(O111*(1-P111),2))</f>
        <v/>
      </c>
      <c r="R111" s="3">
        <f>IF($A111="","",IF(Q111&gt;=参数配置!$B$12,"极高",IF(Q111&gt;=参数配置!$B$13,"高",IF(Q111&gt;=参数配置!$B$14,"中",IF(Q111&gt;=参数配置!$B$15,"低","极低")))))</f>
        <v/>
      </c>
      <c r="S111" s="3">
        <f>IF($A111="","",ROUND(M111,0))</f>
        <v/>
      </c>
      <c r="T111" s="3">
        <f>IF($A111="","",ROUND(N111,0))</f>
        <v/>
      </c>
      <c r="U111" s="3">
        <f>IF($A111="","",IF(R111="极高","每年必审",IF(R111="高","每年审计",IF(R111="中","两年一轮","按需抽查"))))</f>
        <v/>
      </c>
      <c r="V111" s="21">
        <f>IF($A111="","",IF(N111=0,"",(N111-Q111)/N111))</f>
        <v/>
      </c>
    </row>
    <row r="112">
      <c r="M112" s="20">
        <f>IF($A112="","",ROUND(MAX(SUMPRODUCT(H112:L112,IFERROR(VLOOKUP($C112,参数配置!$A$26:$F$38,{2,3,4,5,6},FALSE),VLOOKUP(参数配置!$A$26,参数配置!$A$26:$F$38,{2,3,4,5,6},FALSE))),参数配置!$E$13*MAX(H112:L112)),2))</f>
        <v/>
      </c>
      <c r="N112" s="20">
        <f>IF($A112="","",ROUND(G112*M112,2))</f>
        <v/>
      </c>
      <c r="O112" s="3">
        <f>IF($A112="","",IF(COUNTIFS(控制措施表!$B:$B,$A112,控制措施表!$C:$C,$F112,控制措施表!$F:$F,"是")=0,IF(COUNTIFS(控制措施表!$B:$B,$A112,控制措施表!$C:$C,$F112)=0,"",MINIFS(控制措施表!$E:$E,控制措施表!$B:$B,$A112,控制措施表!$C:$C,$F112)),MINIFS(控制措施表!$E:$E,控制措施表!$B:$B,$A112,控制措施表!$C:$C,$F112,控制措施表!$F:$F,"是")))</f>
        <v/>
      </c>
      <c r="P112" s="21">
        <f>IF($A112="","",IF(N112="",0,VLOOKUP(N112,参数配置!$D$4:$E$8,2,FALSE)))</f>
        <v/>
      </c>
      <c r="Q112" s="20">
        <f>IF($A112="","",ROUND(O112*(1-P112),2))</f>
        <v/>
      </c>
      <c r="R112" s="3">
        <f>IF($A112="","",IF(Q112&gt;=参数配置!$B$12,"极高",IF(Q112&gt;=参数配置!$B$13,"高",IF(Q112&gt;=参数配置!$B$14,"中",IF(Q112&gt;=参数配置!$B$15,"低","极低")))))</f>
        <v/>
      </c>
      <c r="S112" s="3">
        <f>IF($A112="","",ROUND(M112,0))</f>
        <v/>
      </c>
      <c r="T112" s="3">
        <f>IF($A112="","",ROUND(N112,0))</f>
        <v/>
      </c>
      <c r="U112" s="3">
        <f>IF($A112="","",IF(R112="极高","每年必审",IF(R112="高","每年审计",IF(R112="中","两年一轮","按需抽查"))))</f>
        <v/>
      </c>
      <c r="V112" s="21">
        <f>IF($A112="","",IF(N112=0,"",(N112-Q112)/N112))</f>
        <v/>
      </c>
    </row>
    <row r="113">
      <c r="M113" s="20">
        <f>IF($A113="","",ROUND(MAX(SUMPRODUCT(H113:L113,IFERROR(VLOOKUP($C113,参数配置!$A$26:$F$38,{2,3,4,5,6},FALSE),VLOOKUP(参数配置!$A$26,参数配置!$A$26:$F$38,{2,3,4,5,6},FALSE))),参数配置!$E$13*MAX(H113:L113)),2))</f>
        <v/>
      </c>
      <c r="N113" s="20">
        <f>IF($A113="","",ROUND(G113*M113,2))</f>
        <v/>
      </c>
      <c r="O113" s="3">
        <f>IF($A113="","",IF(COUNTIFS(控制措施表!$B:$B,$A113,控制措施表!$C:$C,$F113,控制措施表!$F:$F,"是")=0,IF(COUNTIFS(控制措施表!$B:$B,$A113,控制措施表!$C:$C,$F113)=0,"",MINIFS(控制措施表!$E:$E,控制措施表!$B:$B,$A113,控制措施表!$C:$C,$F113)),MINIFS(控制措施表!$E:$E,控制措施表!$B:$B,$A113,控制措施表!$C:$C,$F113,控制措施表!$F:$F,"是")))</f>
        <v/>
      </c>
      <c r="P113" s="21">
        <f>IF($A113="","",IF(N113="",0,VLOOKUP(N113,参数配置!$D$4:$E$8,2,FALSE)))</f>
        <v/>
      </c>
      <c r="Q113" s="20">
        <f>IF($A113="","",ROUND(O113*(1-P113),2))</f>
        <v/>
      </c>
      <c r="R113" s="3">
        <f>IF($A113="","",IF(Q113&gt;=参数配置!$B$12,"极高",IF(Q113&gt;=参数配置!$B$13,"高",IF(Q113&gt;=参数配置!$B$14,"中",IF(Q113&gt;=参数配置!$B$15,"低","极低")))))</f>
        <v/>
      </c>
      <c r="S113" s="3">
        <f>IF($A113="","",ROUND(M113,0))</f>
        <v/>
      </c>
      <c r="T113" s="3">
        <f>IF($A113="","",ROUND(N113,0))</f>
        <v/>
      </c>
      <c r="U113" s="3">
        <f>IF($A113="","",IF(R113="极高","每年必审",IF(R113="高","每年审计",IF(R113="中","两年一轮","按需抽查"))))</f>
        <v/>
      </c>
      <c r="V113" s="21">
        <f>IF($A113="","",IF(N113=0,"",(N113-Q113)/N113))</f>
        <v/>
      </c>
    </row>
    <row r="114">
      <c r="M114" s="20">
        <f>IF($A114="","",ROUND(MAX(SUMPRODUCT(H114:L114,IFERROR(VLOOKUP($C114,参数配置!$A$26:$F$38,{2,3,4,5,6},FALSE),VLOOKUP(参数配置!$A$26,参数配置!$A$26:$F$38,{2,3,4,5,6},FALSE))),参数配置!$E$13*MAX(H114:L114)),2))</f>
        <v/>
      </c>
      <c r="N114" s="20">
        <f>IF($A114="","",ROUND(G114*M114,2))</f>
        <v/>
      </c>
      <c r="O114" s="3">
        <f>IF($A114="","",IF(COUNTIFS(控制措施表!$B:$B,$A114,控制措施表!$C:$C,$F114,控制措施表!$F:$F,"是")=0,IF(COUNTIFS(控制措施表!$B:$B,$A114,控制措施表!$C:$C,$F114)=0,"",MINIFS(控制措施表!$E:$E,控制措施表!$B:$B,$A114,控制措施表!$C:$C,$F114)),MINIFS(控制措施表!$E:$E,控制措施表!$B:$B,$A114,控制措施表!$C:$C,$F114,控制措施表!$F:$F,"是")))</f>
        <v/>
      </c>
      <c r="P114" s="21">
        <f>IF($A114="","",IF(N114="",0,VLOOKUP(N114,参数配置!$D$4:$E$8,2,FALSE)))</f>
        <v/>
      </c>
      <c r="Q114" s="20">
        <f>IF($A114="","",ROUND(O114*(1-P114),2))</f>
        <v/>
      </c>
      <c r="R114" s="3">
        <f>IF($A114="","",IF(Q114&gt;=参数配置!$B$12,"极高",IF(Q114&gt;=参数配置!$B$13,"高",IF(Q114&gt;=参数配置!$B$14,"中",IF(Q114&gt;=参数配置!$B$15,"低","极低")))))</f>
        <v/>
      </c>
      <c r="S114" s="3">
        <f>IF($A114="","",ROUND(M114,0))</f>
        <v/>
      </c>
      <c r="T114" s="3">
        <f>IF($A114="","",ROUND(N114,0))</f>
        <v/>
      </c>
      <c r="U114" s="3">
        <f>IF($A114="","",IF(R114="极高","每年必审",IF(R114="高","每年审计",IF(R114="中","两年一轮","按需抽查"))))</f>
        <v/>
      </c>
      <c r="V114" s="21">
        <f>IF($A114="","",IF(N114=0,"",(N114-Q114)/N114))</f>
        <v/>
      </c>
    </row>
    <row r="115">
      <c r="M115" s="20">
        <f>IF($A115="","",ROUND(MAX(SUMPRODUCT(H115:L115,IFERROR(VLOOKUP($C115,参数配置!$A$26:$F$38,{2,3,4,5,6},FALSE),VLOOKUP(参数配置!$A$26,参数配置!$A$26:$F$38,{2,3,4,5,6},FALSE))),参数配置!$E$13*MAX(H115:L115)),2))</f>
        <v/>
      </c>
      <c r="N115" s="20">
        <f>IF($A115="","",ROUND(G115*M115,2))</f>
        <v/>
      </c>
      <c r="O115" s="3">
        <f>IF($A115="","",IF(COUNTIFS(控制措施表!$B:$B,$A115,控制措施表!$C:$C,$F115,控制措施表!$F:$F,"是")=0,IF(COUNTIFS(控制措施表!$B:$B,$A115,控制措施表!$C:$C,$F115)=0,"",MINIFS(控制措施表!$E:$E,控制措施表!$B:$B,$A115,控制措施表!$C:$C,$F115)),MINIFS(控制措施表!$E:$E,控制措施表!$B:$B,$A115,控制措施表!$C:$C,$F115,控制措施表!$F:$F,"是")))</f>
        <v/>
      </c>
      <c r="P115" s="21">
        <f>IF($A115="","",IF(N115="",0,VLOOKUP(N115,参数配置!$D$4:$E$8,2,FALSE)))</f>
        <v/>
      </c>
      <c r="Q115" s="20">
        <f>IF($A115="","",ROUND(O115*(1-P115),2))</f>
        <v/>
      </c>
      <c r="R115" s="3">
        <f>IF($A115="","",IF(Q115&gt;=参数配置!$B$12,"极高",IF(Q115&gt;=参数配置!$B$13,"高",IF(Q115&gt;=参数配置!$B$14,"中",IF(Q115&gt;=参数配置!$B$15,"低","极低")))))</f>
        <v/>
      </c>
      <c r="S115" s="3">
        <f>IF($A115="","",ROUND(M115,0))</f>
        <v/>
      </c>
      <c r="T115" s="3">
        <f>IF($A115="","",ROUND(N115,0))</f>
        <v/>
      </c>
      <c r="U115" s="3">
        <f>IF($A115="","",IF(R115="极高","每年必审",IF(R115="高","每年审计",IF(R115="中","两年一轮","按需抽查"))))</f>
        <v/>
      </c>
      <c r="V115" s="21">
        <f>IF($A115="","",IF(N115=0,"",(N115-Q115)/N115))</f>
        <v/>
      </c>
    </row>
    <row r="116">
      <c r="M116" s="20">
        <f>IF($A116="","",ROUND(MAX(SUMPRODUCT(H116:L116,IFERROR(VLOOKUP($C116,参数配置!$A$26:$F$38,{2,3,4,5,6},FALSE),VLOOKUP(参数配置!$A$26,参数配置!$A$26:$F$38,{2,3,4,5,6},FALSE))),参数配置!$E$13*MAX(H116:L116)),2))</f>
        <v/>
      </c>
      <c r="N116" s="20">
        <f>IF($A116="","",ROUND(G116*M116,2))</f>
        <v/>
      </c>
      <c r="O116" s="3">
        <f>IF($A116="","",IF(COUNTIFS(控制措施表!$B:$B,$A116,控制措施表!$C:$C,$F116,控制措施表!$F:$F,"是")=0,IF(COUNTIFS(控制措施表!$B:$B,$A116,控制措施表!$C:$C,$F116)=0,"",MINIFS(控制措施表!$E:$E,控制措施表!$B:$B,$A116,控制措施表!$C:$C,$F116)),MINIFS(控制措施表!$E:$E,控制措施表!$B:$B,$A116,控制措施表!$C:$C,$F116,控制措施表!$F:$F,"是")))</f>
        <v/>
      </c>
      <c r="P116" s="21">
        <f>IF($A116="","",IF(N116="",0,VLOOKUP(N116,参数配置!$D$4:$E$8,2,FALSE)))</f>
        <v/>
      </c>
      <c r="Q116" s="20">
        <f>IF($A116="","",ROUND(O116*(1-P116),2))</f>
        <v/>
      </c>
      <c r="R116" s="3">
        <f>IF($A116="","",IF(Q116&gt;=参数配置!$B$12,"极高",IF(Q116&gt;=参数配置!$B$13,"高",IF(Q116&gt;=参数配置!$B$14,"中",IF(Q116&gt;=参数配置!$B$15,"低","极低")))))</f>
        <v/>
      </c>
      <c r="S116" s="3">
        <f>IF($A116="","",ROUND(M116,0))</f>
        <v/>
      </c>
      <c r="T116" s="3">
        <f>IF($A116="","",ROUND(N116,0))</f>
        <v/>
      </c>
      <c r="U116" s="3">
        <f>IF($A116="","",IF(R116="极高","每年必审",IF(R116="高","每年审计",IF(R116="中","两年一轮","按需抽查"))))</f>
        <v/>
      </c>
      <c r="V116" s="21">
        <f>IF($A116="","",IF(N116=0,"",(N116-Q116)/N116))</f>
        <v/>
      </c>
    </row>
    <row r="117">
      <c r="M117" s="20">
        <f>IF($A117="","",ROUND(MAX(SUMPRODUCT(H117:L117,IFERROR(VLOOKUP($C117,参数配置!$A$26:$F$38,{2,3,4,5,6},FALSE),VLOOKUP(参数配置!$A$26,参数配置!$A$26:$F$38,{2,3,4,5,6},FALSE))),参数配置!$E$13*MAX(H117:L117)),2))</f>
        <v/>
      </c>
      <c r="N117" s="20">
        <f>IF($A117="","",ROUND(G117*M117,2))</f>
        <v/>
      </c>
      <c r="O117" s="3">
        <f>IF($A117="","",IF(COUNTIFS(控制措施表!$B:$B,$A117,控制措施表!$C:$C,$F117,控制措施表!$F:$F,"是")=0,IF(COUNTIFS(控制措施表!$B:$B,$A117,控制措施表!$C:$C,$F117)=0,"",MINIFS(控制措施表!$E:$E,控制措施表!$B:$B,$A117,控制措施表!$C:$C,$F117)),MINIFS(控制措施表!$E:$E,控制措施表!$B:$B,$A117,控制措施表!$C:$C,$F117,控制措施表!$F:$F,"是")))</f>
        <v/>
      </c>
      <c r="P117" s="21">
        <f>IF($A117="","",IF(N117="",0,VLOOKUP(N117,参数配置!$D$4:$E$8,2,FALSE)))</f>
        <v/>
      </c>
      <c r="Q117" s="20">
        <f>IF($A117="","",ROUND(O117*(1-P117),2))</f>
        <v/>
      </c>
      <c r="R117" s="3">
        <f>IF($A117="","",IF(Q117&gt;=参数配置!$B$12,"极高",IF(Q117&gt;=参数配置!$B$13,"高",IF(Q117&gt;=参数配置!$B$14,"中",IF(Q117&gt;=参数配置!$B$15,"低","极低")))))</f>
        <v/>
      </c>
      <c r="S117" s="3">
        <f>IF($A117="","",ROUND(M117,0))</f>
        <v/>
      </c>
      <c r="T117" s="3">
        <f>IF($A117="","",ROUND(N117,0))</f>
        <v/>
      </c>
      <c r="U117" s="3">
        <f>IF($A117="","",IF(R117="极高","每年必审",IF(R117="高","每年审计",IF(R117="中","两年一轮","按需抽查"))))</f>
        <v/>
      </c>
      <c r="V117" s="21">
        <f>IF($A117="","",IF(N117=0,"",(N117-Q117)/N117))</f>
        <v/>
      </c>
    </row>
    <row r="118">
      <c r="M118" s="20">
        <f>IF($A118="","",ROUND(MAX(SUMPRODUCT(H118:L118,IFERROR(VLOOKUP($C118,参数配置!$A$26:$F$38,{2,3,4,5,6},FALSE),VLOOKUP(参数配置!$A$26,参数配置!$A$26:$F$38,{2,3,4,5,6},FALSE))),参数配置!$E$13*MAX(H118:L118)),2))</f>
        <v/>
      </c>
      <c r="N118" s="20">
        <f>IF($A118="","",ROUND(G118*M118,2))</f>
        <v/>
      </c>
      <c r="O118" s="3">
        <f>IF($A118="","",IF(COUNTIFS(控制措施表!$B:$B,$A118,控制措施表!$C:$C,$F118,控制措施表!$F:$F,"是")=0,IF(COUNTIFS(控制措施表!$B:$B,$A118,控制措施表!$C:$C,$F118)=0,"",MINIFS(控制措施表!$E:$E,控制措施表!$B:$B,$A118,控制措施表!$C:$C,$F118)),MINIFS(控制措施表!$E:$E,控制措施表!$B:$B,$A118,控制措施表!$C:$C,$F118,控制措施表!$F:$F,"是")))</f>
        <v/>
      </c>
      <c r="P118" s="21">
        <f>IF($A118="","",IF(N118="",0,VLOOKUP(N118,参数配置!$D$4:$E$8,2,FALSE)))</f>
        <v/>
      </c>
      <c r="Q118" s="20">
        <f>IF($A118="","",ROUND(O118*(1-P118),2))</f>
        <v/>
      </c>
      <c r="R118" s="3">
        <f>IF($A118="","",IF(Q118&gt;=参数配置!$B$12,"极高",IF(Q118&gt;=参数配置!$B$13,"高",IF(Q118&gt;=参数配置!$B$14,"中",IF(Q118&gt;=参数配置!$B$15,"低","极低")))))</f>
        <v/>
      </c>
      <c r="S118" s="3">
        <f>IF($A118="","",ROUND(M118,0))</f>
        <v/>
      </c>
      <c r="T118" s="3">
        <f>IF($A118="","",ROUND(N118,0))</f>
        <v/>
      </c>
      <c r="U118" s="3">
        <f>IF($A118="","",IF(R118="极高","每年必审",IF(R118="高","每年审计",IF(R118="中","两年一轮","按需抽查"))))</f>
        <v/>
      </c>
      <c r="V118" s="21">
        <f>IF($A118="","",IF(N118=0,"",(N118-Q118)/N118))</f>
        <v/>
      </c>
    </row>
    <row r="119">
      <c r="M119" s="20">
        <f>IF($A119="","",ROUND(MAX(SUMPRODUCT(H119:L119,IFERROR(VLOOKUP($C119,参数配置!$A$26:$F$38,{2,3,4,5,6},FALSE),VLOOKUP(参数配置!$A$26,参数配置!$A$26:$F$38,{2,3,4,5,6},FALSE))),参数配置!$E$13*MAX(H119:L119)),2))</f>
        <v/>
      </c>
      <c r="N119" s="20">
        <f>IF($A119="","",ROUND(G119*M119,2))</f>
        <v/>
      </c>
      <c r="O119" s="3">
        <f>IF($A119="","",IF(COUNTIFS(控制措施表!$B:$B,$A119,控制措施表!$C:$C,$F119,控制措施表!$F:$F,"是")=0,IF(COUNTIFS(控制措施表!$B:$B,$A119,控制措施表!$C:$C,$F119)=0,"",MINIFS(控制措施表!$E:$E,控制措施表!$B:$B,$A119,控制措施表!$C:$C,$F119)),MINIFS(控制措施表!$E:$E,控制措施表!$B:$B,$A119,控制措施表!$C:$C,$F119,控制措施表!$F:$F,"是")))</f>
        <v/>
      </c>
      <c r="P119" s="21">
        <f>IF($A119="","",IF(N119="",0,VLOOKUP(N119,参数配置!$D$4:$E$8,2,FALSE)))</f>
        <v/>
      </c>
      <c r="Q119" s="20">
        <f>IF($A119="","",ROUND(O119*(1-P119),2))</f>
        <v/>
      </c>
      <c r="R119" s="3">
        <f>IF($A119="","",IF(Q119&gt;=参数配置!$B$12,"极高",IF(Q119&gt;=参数配置!$B$13,"高",IF(Q119&gt;=参数配置!$B$14,"中",IF(Q119&gt;=参数配置!$B$15,"低","极低")))))</f>
        <v/>
      </c>
      <c r="S119" s="3">
        <f>IF($A119="","",ROUND(M119,0))</f>
        <v/>
      </c>
      <c r="T119" s="3">
        <f>IF($A119="","",ROUND(N119,0))</f>
        <v/>
      </c>
      <c r="U119" s="3">
        <f>IF($A119="","",IF(R119="极高","每年必审",IF(R119="高","每年审计",IF(R119="中","两年一轮","按需抽查"))))</f>
        <v/>
      </c>
      <c r="V119" s="21">
        <f>IF($A119="","",IF(N119=0,"",(N119-Q119)/N119))</f>
        <v/>
      </c>
    </row>
    <row r="120">
      <c r="M120" s="20">
        <f>IF($A120="","",ROUND(MAX(SUMPRODUCT(H120:L120,IFERROR(VLOOKUP($C120,参数配置!$A$26:$F$38,{2,3,4,5,6},FALSE),VLOOKUP(参数配置!$A$26,参数配置!$A$26:$F$38,{2,3,4,5,6},FALSE))),参数配置!$E$13*MAX(H120:L120)),2))</f>
        <v/>
      </c>
      <c r="N120" s="20">
        <f>IF($A120="","",ROUND(G120*M120,2))</f>
        <v/>
      </c>
      <c r="O120" s="3">
        <f>IF($A120="","",IF(COUNTIFS(控制措施表!$B:$B,$A120,控制措施表!$C:$C,$F120,控制措施表!$F:$F,"是")=0,IF(COUNTIFS(控制措施表!$B:$B,$A120,控制措施表!$C:$C,$F120)=0,"",MINIFS(控制措施表!$E:$E,控制措施表!$B:$B,$A120,控制措施表!$C:$C,$F120)),MINIFS(控制措施表!$E:$E,控制措施表!$B:$B,$A120,控制措施表!$C:$C,$F120,控制措施表!$F:$F,"是")))</f>
        <v/>
      </c>
      <c r="P120" s="21">
        <f>IF($A120="","",IF(N120="",0,VLOOKUP(N120,参数配置!$D$4:$E$8,2,FALSE)))</f>
        <v/>
      </c>
      <c r="Q120" s="20">
        <f>IF($A120="","",ROUND(O120*(1-P120),2))</f>
        <v/>
      </c>
      <c r="R120" s="3">
        <f>IF($A120="","",IF(Q120&gt;=参数配置!$B$12,"极高",IF(Q120&gt;=参数配置!$B$13,"高",IF(Q120&gt;=参数配置!$B$14,"中",IF(Q120&gt;=参数配置!$B$15,"低","极低")))))</f>
        <v/>
      </c>
      <c r="S120" s="3">
        <f>IF($A120="","",ROUND(M120,0))</f>
        <v/>
      </c>
      <c r="T120" s="3">
        <f>IF($A120="","",ROUND(N120,0))</f>
        <v/>
      </c>
      <c r="U120" s="3">
        <f>IF($A120="","",IF(R120="极高","每年必审",IF(R120="高","每年审计",IF(R120="中","两年一轮","按需抽查"))))</f>
        <v/>
      </c>
      <c r="V120" s="21">
        <f>IF($A120="","",IF(N120=0,"",(N120-Q120)/N120))</f>
        <v/>
      </c>
    </row>
    <row r="121">
      <c r="M121" s="20">
        <f>IF($A121="","",ROUND(MAX(SUMPRODUCT(H121:L121,IFERROR(VLOOKUP($C121,参数配置!$A$26:$F$38,{2,3,4,5,6},FALSE),VLOOKUP(参数配置!$A$26,参数配置!$A$26:$F$38,{2,3,4,5,6},FALSE))),参数配置!$E$13*MAX(H121:L121)),2))</f>
        <v/>
      </c>
      <c r="N121" s="20">
        <f>IF($A121="","",ROUND(G121*M121,2))</f>
        <v/>
      </c>
      <c r="O121" s="3">
        <f>IF($A121="","",IF(COUNTIFS(控制措施表!$B:$B,$A121,控制措施表!$C:$C,$F121,控制措施表!$F:$F,"是")=0,IF(COUNTIFS(控制措施表!$B:$B,$A121,控制措施表!$C:$C,$F121)=0,"",MINIFS(控制措施表!$E:$E,控制措施表!$B:$B,$A121,控制措施表!$C:$C,$F121)),MINIFS(控制措施表!$E:$E,控制措施表!$B:$B,$A121,控制措施表!$C:$C,$F121,控制措施表!$F:$F,"是")))</f>
        <v/>
      </c>
      <c r="P121" s="21">
        <f>IF($A121="","",IF(N121="",0,VLOOKUP(N121,参数配置!$D$4:$E$8,2,FALSE)))</f>
        <v/>
      </c>
      <c r="Q121" s="20">
        <f>IF($A121="","",ROUND(O121*(1-P121),2))</f>
        <v/>
      </c>
      <c r="R121" s="3">
        <f>IF($A121="","",IF(Q121&gt;=参数配置!$B$12,"极高",IF(Q121&gt;=参数配置!$B$13,"高",IF(Q121&gt;=参数配置!$B$14,"中",IF(Q121&gt;=参数配置!$B$15,"低","极低")))))</f>
        <v/>
      </c>
      <c r="S121" s="3">
        <f>IF($A121="","",ROUND(M121,0))</f>
        <v/>
      </c>
      <c r="T121" s="3">
        <f>IF($A121="","",ROUND(N121,0))</f>
        <v/>
      </c>
      <c r="U121" s="3">
        <f>IF($A121="","",IF(R121="极高","每年必审",IF(R121="高","每年审计",IF(R121="中","两年一轮","按需抽查"))))</f>
        <v/>
      </c>
      <c r="V121" s="21">
        <f>IF($A121="","",IF(N121=0,"",(N121-Q121)/N121))</f>
        <v/>
      </c>
    </row>
    <row r="122">
      <c r="M122" s="20">
        <f>IF($A122="","",ROUND(MAX(SUMPRODUCT(H122:L122,IFERROR(VLOOKUP($C122,参数配置!$A$26:$F$38,{2,3,4,5,6},FALSE),VLOOKUP(参数配置!$A$26,参数配置!$A$26:$F$38,{2,3,4,5,6},FALSE))),参数配置!$E$13*MAX(H122:L122)),2))</f>
        <v/>
      </c>
      <c r="N122" s="20">
        <f>IF($A122="","",ROUND(G122*M122,2))</f>
        <v/>
      </c>
      <c r="O122" s="3">
        <f>IF($A122="","",IF(COUNTIFS(控制措施表!$B:$B,$A122,控制措施表!$C:$C,$F122,控制措施表!$F:$F,"是")=0,IF(COUNTIFS(控制措施表!$B:$B,$A122,控制措施表!$C:$C,$F122)=0,"",MINIFS(控制措施表!$E:$E,控制措施表!$B:$B,$A122,控制措施表!$C:$C,$F122)),MINIFS(控制措施表!$E:$E,控制措施表!$B:$B,$A122,控制措施表!$C:$C,$F122,控制措施表!$F:$F,"是")))</f>
        <v/>
      </c>
      <c r="P122" s="21">
        <f>IF($A122="","",IF(N122="",0,VLOOKUP(N122,参数配置!$D$4:$E$8,2,FALSE)))</f>
        <v/>
      </c>
      <c r="Q122" s="20">
        <f>IF($A122="","",ROUND(O122*(1-P122),2))</f>
        <v/>
      </c>
      <c r="R122" s="3">
        <f>IF($A122="","",IF(Q122&gt;=参数配置!$B$12,"极高",IF(Q122&gt;=参数配置!$B$13,"高",IF(Q122&gt;=参数配置!$B$14,"中",IF(Q122&gt;=参数配置!$B$15,"低","极低")))))</f>
        <v/>
      </c>
      <c r="S122" s="3">
        <f>IF($A122="","",ROUND(M122,0))</f>
        <v/>
      </c>
      <c r="T122" s="3">
        <f>IF($A122="","",ROUND(N122,0))</f>
        <v/>
      </c>
      <c r="U122" s="3">
        <f>IF($A122="","",IF(R122="极高","每年必审",IF(R122="高","每年审计",IF(R122="中","两年一轮","按需抽查"))))</f>
        <v/>
      </c>
      <c r="V122" s="21">
        <f>IF($A122="","",IF(N122=0,"",(N122-Q122)/N122))</f>
        <v/>
      </c>
    </row>
    <row r="123">
      <c r="M123" s="20">
        <f>IF($A123="","",ROUND(MAX(SUMPRODUCT(H123:L123,IFERROR(VLOOKUP($C123,参数配置!$A$26:$F$38,{2,3,4,5,6},FALSE),VLOOKUP(参数配置!$A$26,参数配置!$A$26:$F$38,{2,3,4,5,6},FALSE))),参数配置!$E$13*MAX(H123:L123)),2))</f>
        <v/>
      </c>
      <c r="N123" s="20">
        <f>IF($A123="","",ROUND(G123*M123,2))</f>
        <v/>
      </c>
      <c r="O123" s="3">
        <f>IF($A123="","",IF(COUNTIFS(控制措施表!$B:$B,$A123,控制措施表!$C:$C,$F123,控制措施表!$F:$F,"是")=0,IF(COUNTIFS(控制措施表!$B:$B,$A123,控制措施表!$C:$C,$F123)=0,"",MINIFS(控制措施表!$E:$E,控制措施表!$B:$B,$A123,控制措施表!$C:$C,$F123)),MINIFS(控制措施表!$E:$E,控制措施表!$B:$B,$A123,控制措施表!$C:$C,$F123,控制措施表!$F:$F,"是")))</f>
        <v/>
      </c>
      <c r="P123" s="21">
        <f>IF($A123="","",IF(N123="",0,VLOOKUP(N123,参数配置!$D$4:$E$8,2,FALSE)))</f>
        <v/>
      </c>
      <c r="Q123" s="20">
        <f>IF($A123="","",ROUND(O123*(1-P123),2))</f>
        <v/>
      </c>
      <c r="R123" s="3">
        <f>IF($A123="","",IF(Q123&gt;=参数配置!$B$12,"极高",IF(Q123&gt;=参数配置!$B$13,"高",IF(Q123&gt;=参数配置!$B$14,"中",IF(Q123&gt;=参数配置!$B$15,"低","极低")))))</f>
        <v/>
      </c>
      <c r="S123" s="3">
        <f>IF($A123="","",ROUND(M123,0))</f>
        <v/>
      </c>
      <c r="T123" s="3">
        <f>IF($A123="","",ROUND(N123,0))</f>
        <v/>
      </c>
      <c r="U123" s="3">
        <f>IF($A123="","",IF(R123="极高","每年必审",IF(R123="高","每年审计",IF(R123="中","两年一轮","按需抽查"))))</f>
        <v/>
      </c>
      <c r="V123" s="21">
        <f>IF($A123="","",IF(N123=0,"",(N123-Q123)/N123))</f>
        <v/>
      </c>
    </row>
    <row r="124">
      <c r="M124" s="20">
        <f>IF($A124="","",ROUND(MAX(SUMPRODUCT(H124:L124,IFERROR(VLOOKUP($C124,参数配置!$A$26:$F$38,{2,3,4,5,6},FALSE),VLOOKUP(参数配置!$A$26,参数配置!$A$26:$F$38,{2,3,4,5,6},FALSE))),参数配置!$E$13*MAX(H124:L124)),2))</f>
        <v/>
      </c>
      <c r="N124" s="20">
        <f>IF($A124="","",ROUND(G124*M124,2))</f>
        <v/>
      </c>
      <c r="O124" s="3">
        <f>IF($A124="","",IF(COUNTIFS(控制措施表!$B:$B,$A124,控制措施表!$C:$C,$F124,控制措施表!$F:$F,"是")=0,IF(COUNTIFS(控制措施表!$B:$B,$A124,控制措施表!$C:$C,$F124)=0,"",MINIFS(控制措施表!$E:$E,控制措施表!$B:$B,$A124,控制措施表!$C:$C,$F124)),MINIFS(控制措施表!$E:$E,控制措施表!$B:$B,$A124,控制措施表!$C:$C,$F124,控制措施表!$F:$F,"是")))</f>
        <v/>
      </c>
      <c r="P124" s="21">
        <f>IF($A124="","",IF(N124="",0,VLOOKUP(N124,参数配置!$D$4:$E$8,2,FALSE)))</f>
        <v/>
      </c>
      <c r="Q124" s="20">
        <f>IF($A124="","",ROUND(O124*(1-P124),2))</f>
        <v/>
      </c>
      <c r="R124" s="3">
        <f>IF($A124="","",IF(Q124&gt;=参数配置!$B$12,"极高",IF(Q124&gt;=参数配置!$B$13,"高",IF(Q124&gt;=参数配置!$B$14,"中",IF(Q124&gt;=参数配置!$B$15,"低","极低")))))</f>
        <v/>
      </c>
      <c r="S124" s="3">
        <f>IF($A124="","",ROUND(M124,0))</f>
        <v/>
      </c>
      <c r="T124" s="3">
        <f>IF($A124="","",ROUND(N124,0))</f>
        <v/>
      </c>
      <c r="U124" s="3">
        <f>IF($A124="","",IF(R124="极高","每年必审",IF(R124="高","每年审计",IF(R124="中","两年一轮","按需抽查"))))</f>
        <v/>
      </c>
      <c r="V124" s="21">
        <f>IF($A124="","",IF(N124=0,"",(N124-Q124)/N124))</f>
        <v/>
      </c>
    </row>
    <row r="125">
      <c r="M125" s="20">
        <f>IF($A125="","",ROUND(MAX(SUMPRODUCT(H125:L125,IFERROR(VLOOKUP($C125,参数配置!$A$26:$F$38,{2,3,4,5,6},FALSE),VLOOKUP(参数配置!$A$26,参数配置!$A$26:$F$38,{2,3,4,5,6},FALSE))),参数配置!$E$13*MAX(H125:L125)),2))</f>
        <v/>
      </c>
      <c r="N125" s="20">
        <f>IF($A125="","",ROUND(G125*M125,2))</f>
        <v/>
      </c>
      <c r="O125" s="3">
        <f>IF($A125="","",IF(COUNTIFS(控制措施表!$B:$B,$A125,控制措施表!$C:$C,$F125,控制措施表!$F:$F,"是")=0,IF(COUNTIFS(控制措施表!$B:$B,$A125,控制措施表!$C:$C,$F125)=0,"",MINIFS(控制措施表!$E:$E,控制措施表!$B:$B,$A125,控制措施表!$C:$C,$F125)),MINIFS(控制措施表!$E:$E,控制措施表!$B:$B,$A125,控制措施表!$C:$C,$F125,控制措施表!$F:$F,"是")))</f>
        <v/>
      </c>
      <c r="P125" s="21">
        <f>IF($A125="","",IF(N125="",0,VLOOKUP(N125,参数配置!$D$4:$E$8,2,FALSE)))</f>
        <v/>
      </c>
      <c r="Q125" s="20">
        <f>IF($A125="","",ROUND(O125*(1-P125),2))</f>
        <v/>
      </c>
      <c r="R125" s="3">
        <f>IF($A125="","",IF(Q125&gt;=参数配置!$B$12,"极高",IF(Q125&gt;=参数配置!$B$13,"高",IF(Q125&gt;=参数配置!$B$14,"中",IF(Q125&gt;=参数配置!$B$15,"低","极低")))))</f>
        <v/>
      </c>
      <c r="S125" s="3">
        <f>IF($A125="","",ROUND(M125,0))</f>
        <v/>
      </c>
      <c r="T125" s="3">
        <f>IF($A125="","",ROUND(N125,0))</f>
        <v/>
      </c>
      <c r="U125" s="3">
        <f>IF($A125="","",IF(R125="极高","每年必审",IF(R125="高","每年审计",IF(R125="中","两年一轮","按需抽查"))))</f>
        <v/>
      </c>
      <c r="V125" s="21">
        <f>IF($A125="","",IF(N125=0,"",(N125-Q125)/N125))</f>
        <v/>
      </c>
    </row>
    <row r="126">
      <c r="M126" s="20">
        <f>IF($A126="","",ROUND(MAX(SUMPRODUCT(H126:L126,IFERROR(VLOOKUP($C126,参数配置!$A$26:$F$38,{2,3,4,5,6},FALSE),VLOOKUP(参数配置!$A$26,参数配置!$A$26:$F$38,{2,3,4,5,6},FALSE))),参数配置!$E$13*MAX(H126:L126)),2))</f>
        <v/>
      </c>
      <c r="N126" s="20">
        <f>IF($A126="","",ROUND(G126*M126,2))</f>
        <v/>
      </c>
      <c r="O126" s="3">
        <f>IF($A126="","",IF(COUNTIFS(控制措施表!$B:$B,$A126,控制措施表!$C:$C,$F126,控制措施表!$F:$F,"是")=0,IF(COUNTIFS(控制措施表!$B:$B,$A126,控制措施表!$C:$C,$F126)=0,"",MINIFS(控制措施表!$E:$E,控制措施表!$B:$B,$A126,控制措施表!$C:$C,$F126)),MINIFS(控制措施表!$E:$E,控制措施表!$B:$B,$A126,控制措施表!$C:$C,$F126,控制措施表!$F:$F,"是")))</f>
        <v/>
      </c>
      <c r="P126" s="21">
        <f>IF($A126="","",IF(N126="",0,VLOOKUP(N126,参数配置!$D$4:$E$8,2,FALSE)))</f>
        <v/>
      </c>
      <c r="Q126" s="20">
        <f>IF($A126="","",ROUND(O126*(1-P126),2))</f>
        <v/>
      </c>
      <c r="R126" s="3">
        <f>IF($A126="","",IF(Q126&gt;=参数配置!$B$12,"极高",IF(Q126&gt;=参数配置!$B$13,"高",IF(Q126&gt;=参数配置!$B$14,"中",IF(Q126&gt;=参数配置!$B$15,"低","极低")))))</f>
        <v/>
      </c>
      <c r="S126" s="3">
        <f>IF($A126="","",ROUND(M126,0))</f>
        <v/>
      </c>
      <c r="T126" s="3">
        <f>IF($A126="","",ROUND(N126,0))</f>
        <v/>
      </c>
      <c r="U126" s="3">
        <f>IF($A126="","",IF(R126="极高","每年必审",IF(R126="高","每年审计",IF(R126="中","两年一轮","按需抽查"))))</f>
        <v/>
      </c>
      <c r="V126" s="21">
        <f>IF($A126="","",IF(N126=0,"",(N126-Q126)/N126))</f>
        <v/>
      </c>
    </row>
    <row r="127">
      <c r="M127" s="20">
        <f>IF($A127="","",ROUND(MAX(SUMPRODUCT(H127:L127,IFERROR(VLOOKUP($C127,参数配置!$A$26:$F$38,{2,3,4,5,6},FALSE),VLOOKUP(参数配置!$A$26,参数配置!$A$26:$F$38,{2,3,4,5,6},FALSE))),参数配置!$E$13*MAX(H127:L127)),2))</f>
        <v/>
      </c>
      <c r="N127" s="20">
        <f>IF($A127="","",ROUND(G127*M127,2))</f>
        <v/>
      </c>
      <c r="O127" s="3">
        <f>IF($A127="","",IF(COUNTIFS(控制措施表!$B:$B,$A127,控制措施表!$C:$C,$F127,控制措施表!$F:$F,"是")=0,IF(COUNTIFS(控制措施表!$B:$B,$A127,控制措施表!$C:$C,$F127)=0,"",MINIFS(控制措施表!$E:$E,控制措施表!$B:$B,$A127,控制措施表!$C:$C,$F127)),MINIFS(控制措施表!$E:$E,控制措施表!$B:$B,$A127,控制措施表!$C:$C,$F127,控制措施表!$F:$F,"是")))</f>
        <v/>
      </c>
      <c r="P127" s="21">
        <f>IF($A127="","",IF(N127="",0,VLOOKUP(N127,参数配置!$D$4:$E$8,2,FALSE)))</f>
        <v/>
      </c>
      <c r="Q127" s="20">
        <f>IF($A127="","",ROUND(O127*(1-P127),2))</f>
        <v/>
      </c>
      <c r="R127" s="3">
        <f>IF($A127="","",IF(Q127&gt;=参数配置!$B$12,"极高",IF(Q127&gt;=参数配置!$B$13,"高",IF(Q127&gt;=参数配置!$B$14,"中",IF(Q127&gt;=参数配置!$B$15,"低","极低")))))</f>
        <v/>
      </c>
      <c r="S127" s="3">
        <f>IF($A127="","",ROUND(M127,0))</f>
        <v/>
      </c>
      <c r="T127" s="3">
        <f>IF($A127="","",ROUND(N127,0))</f>
        <v/>
      </c>
      <c r="U127" s="3">
        <f>IF($A127="","",IF(R127="极高","每年必审",IF(R127="高","每年审计",IF(R127="中","两年一轮","按需抽查"))))</f>
        <v/>
      </c>
      <c r="V127" s="21">
        <f>IF($A127="","",IF(N127=0,"",(N127-Q127)/N127))</f>
        <v/>
      </c>
    </row>
    <row r="128">
      <c r="M128" s="20">
        <f>IF($A128="","",ROUND(MAX(SUMPRODUCT(H128:L128,IFERROR(VLOOKUP($C128,参数配置!$A$26:$F$38,{2,3,4,5,6},FALSE),VLOOKUP(参数配置!$A$26,参数配置!$A$26:$F$38,{2,3,4,5,6},FALSE))),参数配置!$E$13*MAX(H128:L128)),2))</f>
        <v/>
      </c>
      <c r="N128" s="20">
        <f>IF($A128="","",ROUND(G128*M128,2))</f>
        <v/>
      </c>
      <c r="O128" s="3">
        <f>IF($A128="","",IF(COUNTIFS(控制措施表!$B:$B,$A128,控制措施表!$C:$C,$F128,控制措施表!$F:$F,"是")=0,IF(COUNTIFS(控制措施表!$B:$B,$A128,控制措施表!$C:$C,$F128)=0,"",MINIFS(控制措施表!$E:$E,控制措施表!$B:$B,$A128,控制措施表!$C:$C,$F128)),MINIFS(控制措施表!$E:$E,控制措施表!$B:$B,$A128,控制措施表!$C:$C,$F128,控制措施表!$F:$F,"是")))</f>
        <v/>
      </c>
      <c r="P128" s="21">
        <f>IF($A128="","",IF(N128="",0,VLOOKUP(N128,参数配置!$D$4:$E$8,2,FALSE)))</f>
        <v/>
      </c>
      <c r="Q128" s="20">
        <f>IF($A128="","",ROUND(O128*(1-P128),2))</f>
        <v/>
      </c>
      <c r="R128" s="3">
        <f>IF($A128="","",IF(Q128&gt;=参数配置!$B$12,"极高",IF(Q128&gt;=参数配置!$B$13,"高",IF(Q128&gt;=参数配置!$B$14,"中",IF(Q128&gt;=参数配置!$B$15,"低","极低")))))</f>
        <v/>
      </c>
      <c r="S128" s="3">
        <f>IF($A128="","",ROUND(M128,0))</f>
        <v/>
      </c>
      <c r="T128" s="3">
        <f>IF($A128="","",ROUND(N128,0))</f>
        <v/>
      </c>
      <c r="U128" s="3">
        <f>IF($A128="","",IF(R128="极高","每年必审",IF(R128="高","每年审计",IF(R128="中","两年一轮","按需抽查"))))</f>
        <v/>
      </c>
      <c r="V128" s="21">
        <f>IF($A128="","",IF(N128=0,"",(N128-Q128)/N128))</f>
        <v/>
      </c>
    </row>
    <row r="129">
      <c r="M129" s="20">
        <f>IF($A129="","",ROUND(MAX(SUMPRODUCT(H129:L129,IFERROR(VLOOKUP($C129,参数配置!$A$26:$F$38,{2,3,4,5,6},FALSE),VLOOKUP(参数配置!$A$26,参数配置!$A$26:$F$38,{2,3,4,5,6},FALSE))),参数配置!$E$13*MAX(H129:L129)),2))</f>
        <v/>
      </c>
      <c r="N129" s="20">
        <f>IF($A129="","",ROUND(G129*M129,2))</f>
        <v/>
      </c>
      <c r="O129" s="3">
        <f>IF($A129="","",IF(COUNTIFS(控制措施表!$B:$B,$A129,控制措施表!$C:$C,$F129,控制措施表!$F:$F,"是")=0,IF(COUNTIFS(控制措施表!$B:$B,$A129,控制措施表!$C:$C,$F129)=0,"",MINIFS(控制措施表!$E:$E,控制措施表!$B:$B,$A129,控制措施表!$C:$C,$F129)),MINIFS(控制措施表!$E:$E,控制措施表!$B:$B,$A129,控制措施表!$C:$C,$F129,控制措施表!$F:$F,"是")))</f>
        <v/>
      </c>
      <c r="P129" s="21">
        <f>IF($A129="","",IF(N129="",0,VLOOKUP(N129,参数配置!$D$4:$E$8,2,FALSE)))</f>
        <v/>
      </c>
      <c r="Q129" s="20">
        <f>IF($A129="","",ROUND(O129*(1-P129),2))</f>
        <v/>
      </c>
      <c r="R129" s="3">
        <f>IF($A129="","",IF(Q129&gt;=参数配置!$B$12,"极高",IF(Q129&gt;=参数配置!$B$13,"高",IF(Q129&gt;=参数配置!$B$14,"中",IF(Q129&gt;=参数配置!$B$15,"低","极低")))))</f>
        <v/>
      </c>
      <c r="S129" s="3">
        <f>IF($A129="","",ROUND(M129,0))</f>
        <v/>
      </c>
      <c r="T129" s="3">
        <f>IF($A129="","",ROUND(N129,0))</f>
        <v/>
      </c>
      <c r="U129" s="3">
        <f>IF($A129="","",IF(R129="极高","每年必审",IF(R129="高","每年审计",IF(R129="中","两年一轮","按需抽查"))))</f>
        <v/>
      </c>
      <c r="V129" s="21">
        <f>IF($A129="","",IF(N129=0,"",(N129-Q129)/N129))</f>
        <v/>
      </c>
    </row>
    <row r="130">
      <c r="M130" s="20">
        <f>IF($A130="","",ROUND(MAX(SUMPRODUCT(H130:L130,IFERROR(VLOOKUP($C130,参数配置!$A$26:$F$38,{2,3,4,5,6},FALSE),VLOOKUP(参数配置!$A$26,参数配置!$A$26:$F$38,{2,3,4,5,6},FALSE))),参数配置!$E$13*MAX(H130:L130)),2))</f>
        <v/>
      </c>
      <c r="N130" s="20">
        <f>IF($A130="","",ROUND(G130*M130,2))</f>
        <v/>
      </c>
      <c r="O130" s="3">
        <f>IF($A130="","",IF(COUNTIFS(控制措施表!$B:$B,$A130,控制措施表!$C:$C,$F130,控制措施表!$F:$F,"是")=0,IF(COUNTIFS(控制措施表!$B:$B,$A130,控制措施表!$C:$C,$F130)=0,"",MINIFS(控制措施表!$E:$E,控制措施表!$B:$B,$A130,控制措施表!$C:$C,$F130)),MINIFS(控制措施表!$E:$E,控制措施表!$B:$B,$A130,控制措施表!$C:$C,$F130,控制措施表!$F:$F,"是")))</f>
        <v/>
      </c>
      <c r="P130" s="21">
        <f>IF($A130="","",IF(N130="",0,VLOOKUP(N130,参数配置!$D$4:$E$8,2,FALSE)))</f>
        <v/>
      </c>
      <c r="Q130" s="20">
        <f>IF($A130="","",ROUND(O130*(1-P130),2))</f>
        <v/>
      </c>
      <c r="R130" s="3">
        <f>IF($A130="","",IF(Q130&gt;=参数配置!$B$12,"极高",IF(Q130&gt;=参数配置!$B$13,"高",IF(Q130&gt;=参数配置!$B$14,"中",IF(Q130&gt;=参数配置!$B$15,"低","极低")))))</f>
        <v/>
      </c>
      <c r="S130" s="3">
        <f>IF($A130="","",ROUND(M130,0))</f>
        <v/>
      </c>
      <c r="T130" s="3">
        <f>IF($A130="","",ROUND(N130,0))</f>
        <v/>
      </c>
      <c r="U130" s="3">
        <f>IF($A130="","",IF(R130="极高","每年必审",IF(R130="高","每年审计",IF(R130="中","两年一轮","按需抽查"))))</f>
        <v/>
      </c>
      <c r="V130" s="21">
        <f>IF($A130="","",IF(N130=0,"",(N130-Q130)/N130))</f>
        <v/>
      </c>
    </row>
    <row r="131">
      <c r="M131" s="20">
        <f>IF($A131="","",ROUND(MAX(SUMPRODUCT(H131:L131,IFERROR(VLOOKUP($C131,参数配置!$A$26:$F$38,{2,3,4,5,6},FALSE),VLOOKUP(参数配置!$A$26,参数配置!$A$26:$F$38,{2,3,4,5,6},FALSE))),参数配置!$E$13*MAX(H131:L131)),2))</f>
        <v/>
      </c>
      <c r="N131" s="20">
        <f>IF($A131="","",ROUND(G131*M131,2))</f>
        <v/>
      </c>
      <c r="O131" s="3">
        <f>IF($A131="","",IF(COUNTIFS(控制措施表!$B:$B,$A131,控制措施表!$C:$C,$F131,控制措施表!$F:$F,"是")=0,IF(COUNTIFS(控制措施表!$B:$B,$A131,控制措施表!$C:$C,$F131)=0,"",MINIFS(控制措施表!$E:$E,控制措施表!$B:$B,$A131,控制措施表!$C:$C,$F131)),MINIFS(控制措施表!$E:$E,控制措施表!$B:$B,$A131,控制措施表!$C:$C,$F131,控制措施表!$F:$F,"是")))</f>
        <v/>
      </c>
      <c r="P131" s="21">
        <f>IF($A131="","",IF(N131="",0,VLOOKUP(N131,参数配置!$D$4:$E$8,2,FALSE)))</f>
        <v/>
      </c>
      <c r="Q131" s="20">
        <f>IF($A131="","",ROUND(O131*(1-P131),2))</f>
        <v/>
      </c>
      <c r="R131" s="3">
        <f>IF($A131="","",IF(Q131&gt;=参数配置!$B$12,"极高",IF(Q131&gt;=参数配置!$B$13,"高",IF(Q131&gt;=参数配置!$B$14,"中",IF(Q131&gt;=参数配置!$B$15,"低","极低")))))</f>
        <v/>
      </c>
      <c r="S131" s="3">
        <f>IF($A131="","",ROUND(M131,0))</f>
        <v/>
      </c>
      <c r="T131" s="3">
        <f>IF($A131="","",ROUND(N131,0))</f>
        <v/>
      </c>
      <c r="U131" s="3">
        <f>IF($A131="","",IF(R131="极高","每年必审",IF(R131="高","每年审计",IF(R131="中","两年一轮","按需抽查"))))</f>
        <v/>
      </c>
      <c r="V131" s="21">
        <f>IF($A131="","",IF(N131=0,"",(N131-Q131)/N131))</f>
        <v/>
      </c>
    </row>
    <row r="132">
      <c r="M132" s="20">
        <f>IF($A132="","",ROUND(MAX(SUMPRODUCT(H132:L132,IFERROR(VLOOKUP($C132,参数配置!$A$26:$F$38,{2,3,4,5,6},FALSE),VLOOKUP(参数配置!$A$26,参数配置!$A$26:$F$38,{2,3,4,5,6},FALSE))),参数配置!$E$13*MAX(H132:L132)),2))</f>
        <v/>
      </c>
      <c r="N132" s="20">
        <f>IF($A132="","",ROUND(G132*M132,2))</f>
        <v/>
      </c>
      <c r="O132" s="3">
        <f>IF($A132="","",IF(COUNTIFS(控制措施表!$B:$B,$A132,控制措施表!$C:$C,$F132,控制措施表!$F:$F,"是")=0,IF(COUNTIFS(控制措施表!$B:$B,$A132,控制措施表!$C:$C,$F132)=0,"",MINIFS(控制措施表!$E:$E,控制措施表!$B:$B,$A132,控制措施表!$C:$C,$F132)),MINIFS(控制措施表!$E:$E,控制措施表!$B:$B,$A132,控制措施表!$C:$C,$F132,控制措施表!$F:$F,"是")))</f>
        <v/>
      </c>
      <c r="P132" s="21">
        <f>IF($A132="","",IF(N132="",0,VLOOKUP(N132,参数配置!$D$4:$E$8,2,FALSE)))</f>
        <v/>
      </c>
      <c r="Q132" s="20">
        <f>IF($A132="","",ROUND(O132*(1-P132),2))</f>
        <v/>
      </c>
      <c r="R132" s="3">
        <f>IF($A132="","",IF(Q132&gt;=参数配置!$B$12,"极高",IF(Q132&gt;=参数配置!$B$13,"高",IF(Q132&gt;=参数配置!$B$14,"中",IF(Q132&gt;=参数配置!$B$15,"低","极低")))))</f>
        <v/>
      </c>
      <c r="S132" s="3">
        <f>IF($A132="","",ROUND(M132,0))</f>
        <v/>
      </c>
      <c r="T132" s="3">
        <f>IF($A132="","",ROUND(N132,0))</f>
        <v/>
      </c>
      <c r="U132" s="3">
        <f>IF($A132="","",IF(R132="极高","每年必审",IF(R132="高","每年审计",IF(R132="中","两年一轮","按需抽查"))))</f>
        <v/>
      </c>
      <c r="V132" s="21">
        <f>IF($A132="","",IF(N132=0,"",(N132-Q132)/N132))</f>
        <v/>
      </c>
    </row>
    <row r="133">
      <c r="M133" s="20">
        <f>IF($A133="","",ROUND(MAX(SUMPRODUCT(H133:L133,IFERROR(VLOOKUP($C133,参数配置!$A$26:$F$38,{2,3,4,5,6},FALSE),VLOOKUP(参数配置!$A$26,参数配置!$A$26:$F$38,{2,3,4,5,6},FALSE))),参数配置!$E$13*MAX(H133:L133)),2))</f>
        <v/>
      </c>
      <c r="N133" s="20">
        <f>IF($A133="","",ROUND(G133*M133,2))</f>
        <v/>
      </c>
      <c r="O133" s="3">
        <f>IF($A133="","",IF(COUNTIFS(控制措施表!$B:$B,$A133,控制措施表!$C:$C,$F133,控制措施表!$F:$F,"是")=0,IF(COUNTIFS(控制措施表!$B:$B,$A133,控制措施表!$C:$C,$F133)=0,"",MINIFS(控制措施表!$E:$E,控制措施表!$B:$B,$A133,控制措施表!$C:$C,$F133)),MINIFS(控制措施表!$E:$E,控制措施表!$B:$B,$A133,控制措施表!$C:$C,$F133,控制措施表!$F:$F,"是")))</f>
        <v/>
      </c>
      <c r="P133" s="21">
        <f>IF($A133="","",IF(N133="",0,VLOOKUP(N133,参数配置!$D$4:$E$8,2,FALSE)))</f>
        <v/>
      </c>
      <c r="Q133" s="20">
        <f>IF($A133="","",ROUND(O133*(1-P133),2))</f>
        <v/>
      </c>
      <c r="R133" s="3">
        <f>IF($A133="","",IF(Q133&gt;=参数配置!$B$12,"极高",IF(Q133&gt;=参数配置!$B$13,"高",IF(Q133&gt;=参数配置!$B$14,"中",IF(Q133&gt;=参数配置!$B$15,"低","极低")))))</f>
        <v/>
      </c>
      <c r="S133" s="3">
        <f>IF($A133="","",ROUND(M133,0))</f>
        <v/>
      </c>
      <c r="T133" s="3">
        <f>IF($A133="","",ROUND(N133,0))</f>
        <v/>
      </c>
      <c r="U133" s="3">
        <f>IF($A133="","",IF(R133="极高","每年必审",IF(R133="高","每年审计",IF(R133="中","两年一轮","按需抽查"))))</f>
        <v/>
      </c>
      <c r="V133" s="21">
        <f>IF($A133="","",IF(N133=0,"",(N133-Q133)/N133))</f>
        <v/>
      </c>
    </row>
    <row r="134">
      <c r="M134" s="20">
        <f>IF($A134="","",ROUND(MAX(SUMPRODUCT(H134:L134,IFERROR(VLOOKUP($C134,参数配置!$A$26:$F$38,{2,3,4,5,6},FALSE),VLOOKUP(参数配置!$A$26,参数配置!$A$26:$F$38,{2,3,4,5,6},FALSE))),参数配置!$E$13*MAX(H134:L134)),2))</f>
        <v/>
      </c>
      <c r="N134" s="20">
        <f>IF($A134="","",ROUND(G134*M134,2))</f>
        <v/>
      </c>
      <c r="O134" s="3">
        <f>IF($A134="","",IF(COUNTIFS(控制措施表!$B:$B,$A134,控制措施表!$C:$C,$F134,控制措施表!$F:$F,"是")=0,IF(COUNTIFS(控制措施表!$B:$B,$A134,控制措施表!$C:$C,$F134)=0,"",MINIFS(控制措施表!$E:$E,控制措施表!$B:$B,$A134,控制措施表!$C:$C,$F134)),MINIFS(控制措施表!$E:$E,控制措施表!$B:$B,$A134,控制措施表!$C:$C,$F134,控制措施表!$F:$F,"是")))</f>
        <v/>
      </c>
      <c r="P134" s="21">
        <f>IF($A134="","",IF(N134="",0,VLOOKUP(N134,参数配置!$D$4:$E$8,2,FALSE)))</f>
        <v/>
      </c>
      <c r="Q134" s="20">
        <f>IF($A134="","",ROUND(O134*(1-P134),2))</f>
        <v/>
      </c>
      <c r="R134" s="3">
        <f>IF($A134="","",IF(Q134&gt;=参数配置!$B$12,"极高",IF(Q134&gt;=参数配置!$B$13,"高",IF(Q134&gt;=参数配置!$B$14,"中",IF(Q134&gt;=参数配置!$B$15,"低","极低")))))</f>
        <v/>
      </c>
      <c r="S134" s="3">
        <f>IF($A134="","",ROUND(M134,0))</f>
        <v/>
      </c>
      <c r="T134" s="3">
        <f>IF($A134="","",ROUND(N134,0))</f>
        <v/>
      </c>
      <c r="U134" s="3">
        <f>IF($A134="","",IF(R134="极高","每年必审",IF(R134="高","每年审计",IF(R134="中","两年一轮","按需抽查"))))</f>
        <v/>
      </c>
      <c r="V134" s="21">
        <f>IF($A134="","",IF(N134=0,"",(N134-Q134)/N134))</f>
        <v/>
      </c>
    </row>
    <row r="135">
      <c r="M135" s="20">
        <f>IF($A135="","",ROUND(MAX(SUMPRODUCT(H135:L135,IFERROR(VLOOKUP($C135,参数配置!$A$26:$F$38,{2,3,4,5,6},FALSE),VLOOKUP(参数配置!$A$26,参数配置!$A$26:$F$38,{2,3,4,5,6},FALSE))),参数配置!$E$13*MAX(H135:L135)),2))</f>
        <v/>
      </c>
      <c r="N135" s="20">
        <f>IF($A135="","",ROUND(G135*M135,2))</f>
        <v/>
      </c>
      <c r="O135" s="3">
        <f>IF($A135="","",IF(COUNTIFS(控制措施表!$B:$B,$A135,控制措施表!$C:$C,$F135,控制措施表!$F:$F,"是")=0,IF(COUNTIFS(控制措施表!$B:$B,$A135,控制措施表!$C:$C,$F135)=0,"",MINIFS(控制措施表!$E:$E,控制措施表!$B:$B,$A135,控制措施表!$C:$C,$F135)),MINIFS(控制措施表!$E:$E,控制措施表!$B:$B,$A135,控制措施表!$C:$C,$F135,控制措施表!$F:$F,"是")))</f>
        <v/>
      </c>
      <c r="P135" s="21">
        <f>IF($A135="","",IF(N135="",0,VLOOKUP(N135,参数配置!$D$4:$E$8,2,FALSE)))</f>
        <v/>
      </c>
      <c r="Q135" s="20">
        <f>IF($A135="","",ROUND(O135*(1-P135),2))</f>
        <v/>
      </c>
      <c r="R135" s="3">
        <f>IF($A135="","",IF(Q135&gt;=参数配置!$B$12,"极高",IF(Q135&gt;=参数配置!$B$13,"高",IF(Q135&gt;=参数配置!$B$14,"中",IF(Q135&gt;=参数配置!$B$15,"低","极低")))))</f>
        <v/>
      </c>
      <c r="S135" s="3">
        <f>IF($A135="","",ROUND(M135,0))</f>
        <v/>
      </c>
      <c r="T135" s="3">
        <f>IF($A135="","",ROUND(N135,0))</f>
        <v/>
      </c>
      <c r="U135" s="3">
        <f>IF($A135="","",IF(R135="极高","每年必审",IF(R135="高","每年审计",IF(R135="中","两年一轮","按需抽查"))))</f>
        <v/>
      </c>
      <c r="V135" s="21">
        <f>IF($A135="","",IF(N135=0,"",(N135-Q135)/N135))</f>
        <v/>
      </c>
    </row>
    <row r="136">
      <c r="M136" s="20">
        <f>IF($A136="","",ROUND(MAX(SUMPRODUCT(H136:L136,IFERROR(VLOOKUP($C136,参数配置!$A$26:$F$38,{2,3,4,5,6},FALSE),VLOOKUP(参数配置!$A$26,参数配置!$A$26:$F$38,{2,3,4,5,6},FALSE))),参数配置!$E$13*MAX(H136:L136)),2))</f>
        <v/>
      </c>
      <c r="N136" s="20">
        <f>IF($A136="","",ROUND(G136*M136,2))</f>
        <v/>
      </c>
      <c r="O136" s="3">
        <f>IF($A136="","",IF(COUNTIFS(控制措施表!$B:$B,$A136,控制措施表!$C:$C,$F136,控制措施表!$F:$F,"是")=0,IF(COUNTIFS(控制措施表!$B:$B,$A136,控制措施表!$C:$C,$F136)=0,"",MINIFS(控制措施表!$E:$E,控制措施表!$B:$B,$A136,控制措施表!$C:$C,$F136)),MINIFS(控制措施表!$E:$E,控制措施表!$B:$B,$A136,控制措施表!$C:$C,$F136,控制措施表!$F:$F,"是")))</f>
        <v/>
      </c>
      <c r="P136" s="21">
        <f>IF($A136="","",IF(N136="",0,VLOOKUP(N136,参数配置!$D$4:$E$8,2,FALSE)))</f>
        <v/>
      </c>
      <c r="Q136" s="20">
        <f>IF($A136="","",ROUND(O136*(1-P136),2))</f>
        <v/>
      </c>
      <c r="R136" s="3">
        <f>IF($A136="","",IF(Q136&gt;=参数配置!$B$12,"极高",IF(Q136&gt;=参数配置!$B$13,"高",IF(Q136&gt;=参数配置!$B$14,"中",IF(Q136&gt;=参数配置!$B$15,"低","极低")))))</f>
        <v/>
      </c>
      <c r="S136" s="3">
        <f>IF($A136="","",ROUND(M136,0))</f>
        <v/>
      </c>
      <c r="T136" s="3">
        <f>IF($A136="","",ROUND(N136,0))</f>
        <v/>
      </c>
      <c r="U136" s="3">
        <f>IF($A136="","",IF(R136="极高","每年必审",IF(R136="高","每年审计",IF(R136="中","两年一轮","按需抽查"))))</f>
        <v/>
      </c>
      <c r="V136" s="21">
        <f>IF($A136="","",IF(N136=0,"",(N136-Q136)/N136))</f>
        <v/>
      </c>
    </row>
    <row r="137">
      <c r="M137" s="20">
        <f>IF($A137="","",ROUND(MAX(SUMPRODUCT(H137:L137,IFERROR(VLOOKUP($C137,参数配置!$A$26:$F$38,{2,3,4,5,6},FALSE),VLOOKUP(参数配置!$A$26,参数配置!$A$26:$F$38,{2,3,4,5,6},FALSE))),参数配置!$E$13*MAX(H137:L137)),2))</f>
        <v/>
      </c>
      <c r="N137" s="20">
        <f>IF($A137="","",ROUND(G137*M137,2))</f>
        <v/>
      </c>
      <c r="O137" s="3">
        <f>IF($A137="","",IF(COUNTIFS(控制措施表!$B:$B,$A137,控制措施表!$C:$C,$F137,控制措施表!$F:$F,"是")=0,IF(COUNTIFS(控制措施表!$B:$B,$A137,控制措施表!$C:$C,$F137)=0,"",MINIFS(控制措施表!$E:$E,控制措施表!$B:$B,$A137,控制措施表!$C:$C,$F137)),MINIFS(控制措施表!$E:$E,控制措施表!$B:$B,$A137,控制措施表!$C:$C,$F137,控制措施表!$F:$F,"是")))</f>
        <v/>
      </c>
      <c r="P137" s="21">
        <f>IF($A137="","",IF(N137="",0,VLOOKUP(N137,参数配置!$D$4:$E$8,2,FALSE)))</f>
        <v/>
      </c>
      <c r="Q137" s="20">
        <f>IF($A137="","",ROUND(O137*(1-P137),2))</f>
        <v/>
      </c>
      <c r="R137" s="3">
        <f>IF($A137="","",IF(Q137&gt;=参数配置!$B$12,"极高",IF(Q137&gt;=参数配置!$B$13,"高",IF(Q137&gt;=参数配置!$B$14,"中",IF(Q137&gt;=参数配置!$B$15,"低","极低")))))</f>
        <v/>
      </c>
      <c r="S137" s="3">
        <f>IF($A137="","",ROUND(M137,0))</f>
        <v/>
      </c>
      <c r="T137" s="3">
        <f>IF($A137="","",ROUND(N137,0))</f>
        <v/>
      </c>
      <c r="U137" s="3">
        <f>IF($A137="","",IF(R137="极高","每年必审",IF(R137="高","每年审计",IF(R137="中","两年一轮","按需抽查"))))</f>
        <v/>
      </c>
      <c r="V137" s="21">
        <f>IF($A137="","",IF(N137=0,"",(N137-Q137)/N137))</f>
        <v/>
      </c>
    </row>
    <row r="138">
      <c r="M138" s="20">
        <f>IF($A138="","",ROUND(MAX(SUMPRODUCT(H138:L138,IFERROR(VLOOKUP($C138,参数配置!$A$26:$F$38,{2,3,4,5,6},FALSE),VLOOKUP(参数配置!$A$26,参数配置!$A$26:$F$38,{2,3,4,5,6},FALSE))),参数配置!$E$13*MAX(H138:L138)),2))</f>
        <v/>
      </c>
      <c r="N138" s="20">
        <f>IF($A138="","",ROUND(G138*M138,2))</f>
        <v/>
      </c>
      <c r="O138" s="3">
        <f>IF($A138="","",IF(COUNTIFS(控制措施表!$B:$B,$A138,控制措施表!$C:$C,$F138,控制措施表!$F:$F,"是")=0,IF(COUNTIFS(控制措施表!$B:$B,$A138,控制措施表!$C:$C,$F138)=0,"",MINIFS(控制措施表!$E:$E,控制措施表!$B:$B,$A138,控制措施表!$C:$C,$F138)),MINIFS(控制措施表!$E:$E,控制措施表!$B:$B,$A138,控制措施表!$C:$C,$F138,控制措施表!$F:$F,"是")))</f>
        <v/>
      </c>
      <c r="P138" s="21">
        <f>IF($A138="","",IF(N138="",0,VLOOKUP(N138,参数配置!$D$4:$E$8,2,FALSE)))</f>
        <v/>
      </c>
      <c r="Q138" s="20">
        <f>IF($A138="","",ROUND(O138*(1-P138),2))</f>
        <v/>
      </c>
      <c r="R138" s="3">
        <f>IF($A138="","",IF(Q138&gt;=参数配置!$B$12,"极高",IF(Q138&gt;=参数配置!$B$13,"高",IF(Q138&gt;=参数配置!$B$14,"中",IF(Q138&gt;=参数配置!$B$15,"低","极低")))))</f>
        <v/>
      </c>
      <c r="S138" s="3">
        <f>IF($A138="","",ROUND(M138,0))</f>
        <v/>
      </c>
      <c r="T138" s="3">
        <f>IF($A138="","",ROUND(N138,0))</f>
        <v/>
      </c>
      <c r="U138" s="3">
        <f>IF($A138="","",IF(R138="极高","每年必审",IF(R138="高","每年审计",IF(R138="中","两年一轮","按需抽查"))))</f>
        <v/>
      </c>
      <c r="V138" s="21">
        <f>IF($A138="","",IF(N138=0,"",(N138-Q138)/N138))</f>
        <v/>
      </c>
    </row>
    <row r="139">
      <c r="M139" s="20">
        <f>IF($A139="","",ROUND(MAX(SUMPRODUCT(H139:L139,IFERROR(VLOOKUP($C139,参数配置!$A$26:$F$38,{2,3,4,5,6},FALSE),VLOOKUP(参数配置!$A$26,参数配置!$A$26:$F$38,{2,3,4,5,6},FALSE))),参数配置!$E$13*MAX(H139:L139)),2))</f>
        <v/>
      </c>
      <c r="N139" s="20">
        <f>IF($A139="","",ROUND(G139*M139,2))</f>
        <v/>
      </c>
      <c r="O139" s="3">
        <f>IF($A139="","",IF(COUNTIFS(控制措施表!$B:$B,$A139,控制措施表!$C:$C,$F139,控制措施表!$F:$F,"是")=0,IF(COUNTIFS(控制措施表!$B:$B,$A139,控制措施表!$C:$C,$F139)=0,"",MINIFS(控制措施表!$E:$E,控制措施表!$B:$B,$A139,控制措施表!$C:$C,$F139)),MINIFS(控制措施表!$E:$E,控制措施表!$B:$B,$A139,控制措施表!$C:$C,$F139,控制措施表!$F:$F,"是")))</f>
        <v/>
      </c>
      <c r="P139" s="21">
        <f>IF($A139="","",IF(N139="",0,VLOOKUP(N139,参数配置!$D$4:$E$8,2,FALSE)))</f>
        <v/>
      </c>
      <c r="Q139" s="20">
        <f>IF($A139="","",ROUND(O139*(1-P139),2))</f>
        <v/>
      </c>
      <c r="R139" s="3">
        <f>IF($A139="","",IF(Q139&gt;=参数配置!$B$12,"极高",IF(Q139&gt;=参数配置!$B$13,"高",IF(Q139&gt;=参数配置!$B$14,"中",IF(Q139&gt;=参数配置!$B$15,"低","极低")))))</f>
        <v/>
      </c>
      <c r="S139" s="3">
        <f>IF($A139="","",ROUND(M139,0))</f>
        <v/>
      </c>
      <c r="T139" s="3">
        <f>IF($A139="","",ROUND(N139,0))</f>
        <v/>
      </c>
      <c r="U139" s="3">
        <f>IF($A139="","",IF(R139="极高","每年必审",IF(R139="高","每年审计",IF(R139="中","两年一轮","按需抽查"))))</f>
        <v/>
      </c>
      <c r="V139" s="21">
        <f>IF($A139="","",IF(N139=0,"",(N139-Q139)/N139))</f>
        <v/>
      </c>
    </row>
    <row r="140">
      <c r="M140" s="20">
        <f>IF($A140="","",ROUND(MAX(SUMPRODUCT(H140:L140,IFERROR(VLOOKUP($C140,参数配置!$A$26:$F$38,{2,3,4,5,6},FALSE),VLOOKUP(参数配置!$A$26,参数配置!$A$26:$F$38,{2,3,4,5,6},FALSE))),参数配置!$E$13*MAX(H140:L140)),2))</f>
        <v/>
      </c>
      <c r="N140" s="20">
        <f>IF($A140="","",ROUND(G140*M140,2))</f>
        <v/>
      </c>
      <c r="O140" s="3">
        <f>IF($A140="","",IF(COUNTIFS(控制措施表!$B:$B,$A140,控制措施表!$C:$C,$F140,控制措施表!$F:$F,"是")=0,IF(COUNTIFS(控制措施表!$B:$B,$A140,控制措施表!$C:$C,$F140)=0,"",MINIFS(控制措施表!$E:$E,控制措施表!$B:$B,$A140,控制措施表!$C:$C,$F140)),MINIFS(控制措施表!$E:$E,控制措施表!$B:$B,$A140,控制措施表!$C:$C,$F140,控制措施表!$F:$F,"是")))</f>
        <v/>
      </c>
      <c r="P140" s="21">
        <f>IF($A140="","",IF(N140="",0,VLOOKUP(N140,参数配置!$D$4:$E$8,2,FALSE)))</f>
        <v/>
      </c>
      <c r="Q140" s="20">
        <f>IF($A140="","",ROUND(O140*(1-P140),2))</f>
        <v/>
      </c>
      <c r="R140" s="3">
        <f>IF($A140="","",IF(Q140&gt;=参数配置!$B$12,"极高",IF(Q140&gt;=参数配置!$B$13,"高",IF(Q140&gt;=参数配置!$B$14,"中",IF(Q140&gt;=参数配置!$B$15,"低","极低")))))</f>
        <v/>
      </c>
      <c r="S140" s="3">
        <f>IF($A140="","",ROUND(M140,0))</f>
        <v/>
      </c>
      <c r="T140" s="3">
        <f>IF($A140="","",ROUND(N140,0))</f>
        <v/>
      </c>
      <c r="U140" s="3">
        <f>IF($A140="","",IF(R140="极高","每年必审",IF(R140="高","每年审计",IF(R140="中","两年一轮","按需抽查"))))</f>
        <v/>
      </c>
      <c r="V140" s="21">
        <f>IF($A140="","",IF(N140=0,"",(N140-Q140)/N140))</f>
        <v/>
      </c>
    </row>
    <row r="141">
      <c r="M141" s="20">
        <f>IF($A141="","",ROUND(MAX(SUMPRODUCT(H141:L141,IFERROR(VLOOKUP($C141,参数配置!$A$26:$F$38,{2,3,4,5,6},FALSE),VLOOKUP(参数配置!$A$26,参数配置!$A$26:$F$38,{2,3,4,5,6},FALSE))),参数配置!$E$13*MAX(H141:L141)),2))</f>
        <v/>
      </c>
      <c r="N141" s="20">
        <f>IF($A141="","",ROUND(G141*M141,2))</f>
        <v/>
      </c>
      <c r="O141" s="3">
        <f>IF($A141="","",IF(COUNTIFS(控制措施表!$B:$B,$A141,控制措施表!$C:$C,$F141,控制措施表!$F:$F,"是")=0,IF(COUNTIFS(控制措施表!$B:$B,$A141,控制措施表!$C:$C,$F141)=0,"",MINIFS(控制措施表!$E:$E,控制措施表!$B:$B,$A141,控制措施表!$C:$C,$F141)),MINIFS(控制措施表!$E:$E,控制措施表!$B:$B,$A141,控制措施表!$C:$C,$F141,控制措施表!$F:$F,"是")))</f>
        <v/>
      </c>
      <c r="P141" s="21">
        <f>IF($A141="","",IF(N141="",0,VLOOKUP(N141,参数配置!$D$4:$E$8,2,FALSE)))</f>
        <v/>
      </c>
      <c r="Q141" s="20">
        <f>IF($A141="","",ROUND(O141*(1-P141),2))</f>
        <v/>
      </c>
      <c r="R141" s="3">
        <f>IF($A141="","",IF(Q141&gt;=参数配置!$B$12,"极高",IF(Q141&gt;=参数配置!$B$13,"高",IF(Q141&gt;=参数配置!$B$14,"中",IF(Q141&gt;=参数配置!$B$15,"低","极低")))))</f>
        <v/>
      </c>
      <c r="S141" s="3">
        <f>IF($A141="","",ROUND(M141,0))</f>
        <v/>
      </c>
      <c r="T141" s="3">
        <f>IF($A141="","",ROUND(N141,0))</f>
        <v/>
      </c>
      <c r="U141" s="3">
        <f>IF($A141="","",IF(R141="极高","每年必审",IF(R141="高","每年审计",IF(R141="中","两年一轮","按需抽查"))))</f>
        <v/>
      </c>
      <c r="V141" s="21">
        <f>IF($A141="","",IF(N141=0,"",(N141-Q141)/N141))</f>
        <v/>
      </c>
    </row>
    <row r="142">
      <c r="M142" s="20">
        <f>IF($A142="","",ROUND(MAX(SUMPRODUCT(H142:L142,IFERROR(VLOOKUP($C142,参数配置!$A$26:$F$38,{2,3,4,5,6},FALSE),VLOOKUP(参数配置!$A$26,参数配置!$A$26:$F$38,{2,3,4,5,6},FALSE))),参数配置!$E$13*MAX(H142:L142)),2))</f>
        <v/>
      </c>
      <c r="N142" s="20">
        <f>IF($A142="","",ROUND(G142*M142,2))</f>
        <v/>
      </c>
      <c r="O142" s="3">
        <f>IF($A142="","",IF(COUNTIFS(控制措施表!$B:$B,$A142,控制措施表!$C:$C,$F142,控制措施表!$F:$F,"是")=0,IF(COUNTIFS(控制措施表!$B:$B,$A142,控制措施表!$C:$C,$F142)=0,"",MINIFS(控制措施表!$E:$E,控制措施表!$B:$B,$A142,控制措施表!$C:$C,$F142)),MINIFS(控制措施表!$E:$E,控制措施表!$B:$B,$A142,控制措施表!$C:$C,$F142,控制措施表!$F:$F,"是")))</f>
        <v/>
      </c>
      <c r="P142" s="21">
        <f>IF($A142="","",IF(N142="",0,VLOOKUP(N142,参数配置!$D$4:$E$8,2,FALSE)))</f>
        <v/>
      </c>
      <c r="Q142" s="20">
        <f>IF($A142="","",ROUND(O142*(1-P142),2))</f>
        <v/>
      </c>
      <c r="R142" s="3">
        <f>IF($A142="","",IF(Q142&gt;=参数配置!$B$12,"极高",IF(Q142&gt;=参数配置!$B$13,"高",IF(Q142&gt;=参数配置!$B$14,"中",IF(Q142&gt;=参数配置!$B$15,"低","极低")))))</f>
        <v/>
      </c>
      <c r="S142" s="3">
        <f>IF($A142="","",ROUND(M142,0))</f>
        <v/>
      </c>
      <c r="T142" s="3">
        <f>IF($A142="","",ROUND(N142,0))</f>
        <v/>
      </c>
      <c r="U142" s="3">
        <f>IF($A142="","",IF(R142="极高","每年必审",IF(R142="高","每年审计",IF(R142="中","两年一轮","按需抽查"))))</f>
        <v/>
      </c>
      <c r="V142" s="21">
        <f>IF($A142="","",IF(N142=0,"",(N142-Q142)/N142))</f>
        <v/>
      </c>
    </row>
    <row r="143">
      <c r="M143" s="20">
        <f>IF($A143="","",ROUND(MAX(SUMPRODUCT(H143:L143,IFERROR(VLOOKUP($C143,参数配置!$A$26:$F$38,{2,3,4,5,6},FALSE),VLOOKUP(参数配置!$A$26,参数配置!$A$26:$F$38,{2,3,4,5,6},FALSE))),参数配置!$E$13*MAX(H143:L143)),2))</f>
        <v/>
      </c>
      <c r="N143" s="20">
        <f>IF($A143="","",ROUND(G143*M143,2))</f>
        <v/>
      </c>
      <c r="O143" s="3">
        <f>IF($A143="","",IF(COUNTIFS(控制措施表!$B:$B,$A143,控制措施表!$C:$C,$F143,控制措施表!$F:$F,"是")=0,IF(COUNTIFS(控制措施表!$B:$B,$A143,控制措施表!$C:$C,$F143)=0,"",MINIFS(控制措施表!$E:$E,控制措施表!$B:$B,$A143,控制措施表!$C:$C,$F143)),MINIFS(控制措施表!$E:$E,控制措施表!$B:$B,$A143,控制措施表!$C:$C,$F143,控制措施表!$F:$F,"是")))</f>
        <v/>
      </c>
      <c r="P143" s="21">
        <f>IF($A143="","",IF(N143="",0,VLOOKUP(N143,参数配置!$D$4:$E$8,2,FALSE)))</f>
        <v/>
      </c>
      <c r="Q143" s="20">
        <f>IF($A143="","",ROUND(O143*(1-P143),2))</f>
        <v/>
      </c>
      <c r="R143" s="3">
        <f>IF($A143="","",IF(Q143&gt;=参数配置!$B$12,"极高",IF(Q143&gt;=参数配置!$B$13,"高",IF(Q143&gt;=参数配置!$B$14,"中",IF(Q143&gt;=参数配置!$B$15,"低","极低")))))</f>
        <v/>
      </c>
      <c r="S143" s="3">
        <f>IF($A143="","",ROUND(M143,0))</f>
        <v/>
      </c>
      <c r="T143" s="3">
        <f>IF($A143="","",ROUND(N143,0))</f>
        <v/>
      </c>
      <c r="U143" s="3">
        <f>IF($A143="","",IF(R143="极高","每年必审",IF(R143="高","每年审计",IF(R143="中","两年一轮","按需抽查"))))</f>
        <v/>
      </c>
      <c r="V143" s="21">
        <f>IF($A143="","",IF(N143=0,"",(N143-Q143)/N143))</f>
        <v/>
      </c>
    </row>
    <row r="144">
      <c r="M144" s="20">
        <f>IF($A144="","",ROUND(MAX(SUMPRODUCT(H144:L144,IFERROR(VLOOKUP($C144,参数配置!$A$26:$F$38,{2,3,4,5,6},FALSE),VLOOKUP(参数配置!$A$26,参数配置!$A$26:$F$38,{2,3,4,5,6},FALSE))),参数配置!$E$13*MAX(H144:L144)),2))</f>
        <v/>
      </c>
      <c r="N144" s="20">
        <f>IF($A144="","",ROUND(G144*M144,2))</f>
        <v/>
      </c>
      <c r="O144" s="3">
        <f>IF($A144="","",IF(COUNTIFS(控制措施表!$B:$B,$A144,控制措施表!$C:$C,$F144,控制措施表!$F:$F,"是")=0,IF(COUNTIFS(控制措施表!$B:$B,$A144,控制措施表!$C:$C,$F144)=0,"",MINIFS(控制措施表!$E:$E,控制措施表!$B:$B,$A144,控制措施表!$C:$C,$F144)),MINIFS(控制措施表!$E:$E,控制措施表!$B:$B,$A144,控制措施表!$C:$C,$F144,控制措施表!$F:$F,"是")))</f>
        <v/>
      </c>
      <c r="P144" s="21">
        <f>IF($A144="","",IF(N144="",0,VLOOKUP(N144,参数配置!$D$4:$E$8,2,FALSE)))</f>
        <v/>
      </c>
      <c r="Q144" s="20">
        <f>IF($A144="","",ROUND(O144*(1-P144),2))</f>
        <v/>
      </c>
      <c r="R144" s="3">
        <f>IF($A144="","",IF(Q144&gt;=参数配置!$B$12,"极高",IF(Q144&gt;=参数配置!$B$13,"高",IF(Q144&gt;=参数配置!$B$14,"中",IF(Q144&gt;=参数配置!$B$15,"低","极低")))))</f>
        <v/>
      </c>
      <c r="S144" s="3">
        <f>IF($A144="","",ROUND(M144,0))</f>
        <v/>
      </c>
      <c r="T144" s="3">
        <f>IF($A144="","",ROUND(N144,0))</f>
        <v/>
      </c>
      <c r="U144" s="3">
        <f>IF($A144="","",IF(R144="极高","每年必审",IF(R144="高","每年审计",IF(R144="中","两年一轮","按需抽查"))))</f>
        <v/>
      </c>
      <c r="V144" s="21">
        <f>IF($A144="","",IF(N144=0,"",(N144-Q144)/N144))</f>
        <v/>
      </c>
    </row>
    <row r="145">
      <c r="M145" s="20">
        <f>IF($A145="","",ROUND(MAX(SUMPRODUCT(H145:L145,IFERROR(VLOOKUP($C145,参数配置!$A$26:$F$38,{2,3,4,5,6},FALSE),VLOOKUP(参数配置!$A$26,参数配置!$A$26:$F$38,{2,3,4,5,6},FALSE))),参数配置!$E$13*MAX(H145:L145)),2))</f>
        <v/>
      </c>
      <c r="N145" s="20">
        <f>IF($A145="","",ROUND(G145*M145,2))</f>
        <v/>
      </c>
      <c r="O145" s="3">
        <f>IF($A145="","",IF(COUNTIFS(控制措施表!$B:$B,$A145,控制措施表!$C:$C,$F145,控制措施表!$F:$F,"是")=0,IF(COUNTIFS(控制措施表!$B:$B,$A145,控制措施表!$C:$C,$F145)=0,"",MINIFS(控制措施表!$E:$E,控制措施表!$B:$B,$A145,控制措施表!$C:$C,$F145)),MINIFS(控制措施表!$E:$E,控制措施表!$B:$B,$A145,控制措施表!$C:$C,$F145,控制措施表!$F:$F,"是")))</f>
        <v/>
      </c>
      <c r="P145" s="21">
        <f>IF($A145="","",IF(N145="",0,VLOOKUP(N145,参数配置!$D$4:$E$8,2,FALSE)))</f>
        <v/>
      </c>
      <c r="Q145" s="20">
        <f>IF($A145="","",ROUND(O145*(1-P145),2))</f>
        <v/>
      </c>
      <c r="R145" s="3">
        <f>IF($A145="","",IF(Q145&gt;=参数配置!$B$12,"极高",IF(Q145&gt;=参数配置!$B$13,"高",IF(Q145&gt;=参数配置!$B$14,"中",IF(Q145&gt;=参数配置!$B$15,"低","极低")))))</f>
        <v/>
      </c>
      <c r="S145" s="3">
        <f>IF($A145="","",ROUND(M145,0))</f>
        <v/>
      </c>
      <c r="T145" s="3">
        <f>IF($A145="","",ROUND(N145,0))</f>
        <v/>
      </c>
      <c r="U145" s="3">
        <f>IF($A145="","",IF(R145="极高","每年必审",IF(R145="高","每年审计",IF(R145="中","两年一轮","按需抽查"))))</f>
        <v/>
      </c>
      <c r="V145" s="21">
        <f>IF($A145="","",IF(N145=0,"",(N145-Q145)/N145))</f>
        <v/>
      </c>
    </row>
    <row r="146">
      <c r="M146" s="20">
        <f>IF($A146="","",ROUND(MAX(SUMPRODUCT(H146:L146,IFERROR(VLOOKUP($C146,参数配置!$A$26:$F$38,{2,3,4,5,6},FALSE),VLOOKUP(参数配置!$A$26,参数配置!$A$26:$F$38,{2,3,4,5,6},FALSE))),参数配置!$E$13*MAX(H146:L146)),2))</f>
        <v/>
      </c>
      <c r="N146" s="20">
        <f>IF($A146="","",ROUND(G146*M146,2))</f>
        <v/>
      </c>
      <c r="O146" s="3">
        <f>IF($A146="","",IF(COUNTIFS(控制措施表!$B:$B,$A146,控制措施表!$C:$C,$F146,控制措施表!$F:$F,"是")=0,IF(COUNTIFS(控制措施表!$B:$B,$A146,控制措施表!$C:$C,$F146)=0,"",MINIFS(控制措施表!$E:$E,控制措施表!$B:$B,$A146,控制措施表!$C:$C,$F146)),MINIFS(控制措施表!$E:$E,控制措施表!$B:$B,$A146,控制措施表!$C:$C,$F146,控制措施表!$F:$F,"是")))</f>
        <v/>
      </c>
      <c r="P146" s="21">
        <f>IF($A146="","",IF(N146="",0,VLOOKUP(N146,参数配置!$D$4:$E$8,2,FALSE)))</f>
        <v/>
      </c>
      <c r="Q146" s="20">
        <f>IF($A146="","",ROUND(O146*(1-P146),2))</f>
        <v/>
      </c>
      <c r="R146" s="3">
        <f>IF($A146="","",IF(Q146&gt;=参数配置!$B$12,"极高",IF(Q146&gt;=参数配置!$B$13,"高",IF(Q146&gt;=参数配置!$B$14,"中",IF(Q146&gt;=参数配置!$B$15,"低","极低")))))</f>
        <v/>
      </c>
      <c r="S146" s="3">
        <f>IF($A146="","",ROUND(M146,0))</f>
        <v/>
      </c>
      <c r="T146" s="3">
        <f>IF($A146="","",ROUND(N146,0))</f>
        <v/>
      </c>
      <c r="U146" s="3">
        <f>IF($A146="","",IF(R146="极高","每年必审",IF(R146="高","每年审计",IF(R146="中","两年一轮","按需抽查"))))</f>
        <v/>
      </c>
      <c r="V146" s="21">
        <f>IF($A146="","",IF(N146=0,"",(N146-Q146)/N146))</f>
        <v/>
      </c>
    </row>
    <row r="147">
      <c r="M147" s="20">
        <f>IF($A147="","",ROUND(MAX(SUMPRODUCT(H147:L147,IFERROR(VLOOKUP($C147,参数配置!$A$26:$F$38,{2,3,4,5,6},FALSE),VLOOKUP(参数配置!$A$26,参数配置!$A$26:$F$38,{2,3,4,5,6},FALSE))),参数配置!$E$13*MAX(H147:L147)),2))</f>
        <v/>
      </c>
      <c r="N147" s="20">
        <f>IF($A147="","",ROUND(G147*M147,2))</f>
        <v/>
      </c>
      <c r="O147" s="3">
        <f>IF($A147="","",IF(COUNTIFS(控制措施表!$B:$B,$A147,控制措施表!$C:$C,$F147,控制措施表!$F:$F,"是")=0,IF(COUNTIFS(控制措施表!$B:$B,$A147,控制措施表!$C:$C,$F147)=0,"",MINIFS(控制措施表!$E:$E,控制措施表!$B:$B,$A147,控制措施表!$C:$C,$F147)),MINIFS(控制措施表!$E:$E,控制措施表!$B:$B,$A147,控制措施表!$C:$C,$F147,控制措施表!$F:$F,"是")))</f>
        <v/>
      </c>
      <c r="P147" s="21">
        <f>IF($A147="","",IF(N147="",0,VLOOKUP(N147,参数配置!$D$4:$E$8,2,FALSE)))</f>
        <v/>
      </c>
      <c r="Q147" s="20">
        <f>IF($A147="","",ROUND(O147*(1-P147),2))</f>
        <v/>
      </c>
      <c r="R147" s="3">
        <f>IF($A147="","",IF(Q147&gt;=参数配置!$B$12,"极高",IF(Q147&gt;=参数配置!$B$13,"高",IF(Q147&gt;=参数配置!$B$14,"中",IF(Q147&gt;=参数配置!$B$15,"低","极低")))))</f>
        <v/>
      </c>
      <c r="S147" s="3">
        <f>IF($A147="","",ROUND(M147,0))</f>
        <v/>
      </c>
      <c r="T147" s="3">
        <f>IF($A147="","",ROUND(N147,0))</f>
        <v/>
      </c>
      <c r="U147" s="3">
        <f>IF($A147="","",IF(R147="极高","每年必审",IF(R147="高","每年审计",IF(R147="中","两年一轮","按需抽查"))))</f>
        <v/>
      </c>
      <c r="V147" s="21">
        <f>IF($A147="","",IF(N147=0,"",(N147-Q147)/N147))</f>
        <v/>
      </c>
    </row>
    <row r="148">
      <c r="M148" s="20">
        <f>IF($A148="","",ROUND(MAX(SUMPRODUCT(H148:L148,IFERROR(VLOOKUP($C148,参数配置!$A$26:$F$38,{2,3,4,5,6},FALSE),VLOOKUP(参数配置!$A$26,参数配置!$A$26:$F$38,{2,3,4,5,6},FALSE))),参数配置!$E$13*MAX(H148:L148)),2))</f>
        <v/>
      </c>
      <c r="N148" s="20">
        <f>IF($A148="","",ROUND(G148*M148,2))</f>
        <v/>
      </c>
      <c r="O148" s="3">
        <f>IF($A148="","",IF(COUNTIFS(控制措施表!$B:$B,$A148,控制措施表!$C:$C,$F148,控制措施表!$F:$F,"是")=0,IF(COUNTIFS(控制措施表!$B:$B,$A148,控制措施表!$C:$C,$F148)=0,"",MINIFS(控制措施表!$E:$E,控制措施表!$B:$B,$A148,控制措施表!$C:$C,$F148)),MINIFS(控制措施表!$E:$E,控制措施表!$B:$B,$A148,控制措施表!$C:$C,$F148,控制措施表!$F:$F,"是")))</f>
        <v/>
      </c>
      <c r="P148" s="21">
        <f>IF($A148="","",IF(N148="",0,VLOOKUP(N148,参数配置!$D$4:$E$8,2,FALSE)))</f>
        <v/>
      </c>
      <c r="Q148" s="20">
        <f>IF($A148="","",ROUND(O148*(1-P148),2))</f>
        <v/>
      </c>
      <c r="R148" s="3">
        <f>IF($A148="","",IF(Q148&gt;=参数配置!$B$12,"极高",IF(Q148&gt;=参数配置!$B$13,"高",IF(Q148&gt;=参数配置!$B$14,"中",IF(Q148&gt;=参数配置!$B$15,"低","极低")))))</f>
        <v/>
      </c>
      <c r="S148" s="3">
        <f>IF($A148="","",ROUND(M148,0))</f>
        <v/>
      </c>
      <c r="T148" s="3">
        <f>IF($A148="","",ROUND(N148,0))</f>
        <v/>
      </c>
      <c r="U148" s="3">
        <f>IF($A148="","",IF(R148="极高","每年必审",IF(R148="高","每年审计",IF(R148="中","两年一轮","按需抽查"))))</f>
        <v/>
      </c>
      <c r="V148" s="21">
        <f>IF($A148="","",IF(N148=0,"",(N148-Q148)/N148))</f>
        <v/>
      </c>
    </row>
    <row r="149">
      <c r="M149" s="20">
        <f>IF($A149="","",ROUND(MAX(SUMPRODUCT(H149:L149,IFERROR(VLOOKUP($C149,参数配置!$A$26:$F$38,{2,3,4,5,6},FALSE),VLOOKUP(参数配置!$A$26,参数配置!$A$26:$F$38,{2,3,4,5,6},FALSE))),参数配置!$E$13*MAX(H149:L149)),2))</f>
        <v/>
      </c>
      <c r="N149" s="20">
        <f>IF($A149="","",ROUND(G149*M149,2))</f>
        <v/>
      </c>
      <c r="O149" s="3">
        <f>IF($A149="","",IF(COUNTIFS(控制措施表!$B:$B,$A149,控制措施表!$C:$C,$F149,控制措施表!$F:$F,"是")=0,IF(COUNTIFS(控制措施表!$B:$B,$A149,控制措施表!$C:$C,$F149)=0,"",MINIFS(控制措施表!$E:$E,控制措施表!$B:$B,$A149,控制措施表!$C:$C,$F149)),MINIFS(控制措施表!$E:$E,控制措施表!$B:$B,$A149,控制措施表!$C:$C,$F149,控制措施表!$F:$F,"是")))</f>
        <v/>
      </c>
      <c r="P149" s="21">
        <f>IF($A149="","",IF(N149="",0,VLOOKUP(N149,参数配置!$D$4:$E$8,2,FALSE)))</f>
        <v/>
      </c>
      <c r="Q149" s="20">
        <f>IF($A149="","",ROUND(O149*(1-P149),2))</f>
        <v/>
      </c>
      <c r="R149" s="3">
        <f>IF($A149="","",IF(Q149&gt;=参数配置!$B$12,"极高",IF(Q149&gt;=参数配置!$B$13,"高",IF(Q149&gt;=参数配置!$B$14,"中",IF(Q149&gt;=参数配置!$B$15,"低","极低")))))</f>
        <v/>
      </c>
      <c r="S149" s="3">
        <f>IF($A149="","",ROUND(M149,0))</f>
        <v/>
      </c>
      <c r="T149" s="3">
        <f>IF($A149="","",ROUND(N149,0))</f>
        <v/>
      </c>
      <c r="U149" s="3">
        <f>IF($A149="","",IF(R149="极高","每年必审",IF(R149="高","每年审计",IF(R149="中","两年一轮","按需抽查"))))</f>
        <v/>
      </c>
      <c r="V149" s="21">
        <f>IF($A149="","",IF(N149=0,"",(N149-Q149)/N149))</f>
        <v/>
      </c>
    </row>
    <row r="150">
      <c r="M150" s="20">
        <f>IF($A150="","",ROUND(MAX(SUMPRODUCT(H150:L150,IFERROR(VLOOKUP($C150,参数配置!$A$26:$F$38,{2,3,4,5,6},FALSE),VLOOKUP(参数配置!$A$26,参数配置!$A$26:$F$38,{2,3,4,5,6},FALSE))),参数配置!$E$13*MAX(H150:L150)),2))</f>
        <v/>
      </c>
      <c r="N150" s="20">
        <f>IF($A150="","",ROUND(G150*M150,2))</f>
        <v/>
      </c>
      <c r="O150" s="3">
        <f>IF($A150="","",IF(COUNTIFS(控制措施表!$B:$B,$A150,控制措施表!$C:$C,$F150,控制措施表!$F:$F,"是")=0,IF(COUNTIFS(控制措施表!$B:$B,$A150,控制措施表!$C:$C,$F150)=0,"",MINIFS(控制措施表!$E:$E,控制措施表!$B:$B,$A150,控制措施表!$C:$C,$F150)),MINIFS(控制措施表!$E:$E,控制措施表!$B:$B,$A150,控制措施表!$C:$C,$F150,控制措施表!$F:$F,"是")))</f>
        <v/>
      </c>
      <c r="P150" s="21">
        <f>IF($A150="","",IF(N150="",0,VLOOKUP(N150,参数配置!$D$4:$E$8,2,FALSE)))</f>
        <v/>
      </c>
      <c r="Q150" s="20">
        <f>IF($A150="","",ROUND(O150*(1-P150),2))</f>
        <v/>
      </c>
      <c r="R150" s="3">
        <f>IF($A150="","",IF(Q150&gt;=参数配置!$B$12,"极高",IF(Q150&gt;=参数配置!$B$13,"高",IF(Q150&gt;=参数配置!$B$14,"中",IF(Q150&gt;=参数配置!$B$15,"低","极低")))))</f>
        <v/>
      </c>
      <c r="S150" s="3">
        <f>IF($A150="","",ROUND(M150,0))</f>
        <v/>
      </c>
      <c r="T150" s="3">
        <f>IF($A150="","",ROUND(N150,0))</f>
        <v/>
      </c>
      <c r="U150" s="3">
        <f>IF($A150="","",IF(R150="极高","每年必审",IF(R150="高","每年审计",IF(R150="中","两年一轮","按需抽查"))))</f>
        <v/>
      </c>
      <c r="V150" s="21">
        <f>IF($A150="","",IF(N150=0,"",(N150-Q150)/N150))</f>
        <v/>
      </c>
    </row>
    <row r="151">
      <c r="M151" s="20">
        <f>IF($A151="","",ROUND(MAX(SUMPRODUCT(H151:L151,IFERROR(VLOOKUP($C151,参数配置!$A$26:$F$38,{2,3,4,5,6},FALSE),VLOOKUP(参数配置!$A$26,参数配置!$A$26:$F$38,{2,3,4,5,6},FALSE))),参数配置!$E$13*MAX(H151:L151)),2))</f>
        <v/>
      </c>
      <c r="N151" s="20">
        <f>IF($A151="","",ROUND(G151*M151,2))</f>
        <v/>
      </c>
      <c r="O151" s="3">
        <f>IF($A151="","",IF(COUNTIFS(控制措施表!$B:$B,$A151,控制措施表!$C:$C,$F151,控制措施表!$F:$F,"是")=0,IF(COUNTIFS(控制措施表!$B:$B,$A151,控制措施表!$C:$C,$F151)=0,"",MINIFS(控制措施表!$E:$E,控制措施表!$B:$B,$A151,控制措施表!$C:$C,$F151)),MINIFS(控制措施表!$E:$E,控制措施表!$B:$B,$A151,控制措施表!$C:$C,$F151,控制措施表!$F:$F,"是")))</f>
        <v/>
      </c>
      <c r="P151" s="21">
        <f>IF($A151="","",IF(N151="",0,VLOOKUP(N151,参数配置!$D$4:$E$8,2,FALSE)))</f>
        <v/>
      </c>
      <c r="Q151" s="20">
        <f>IF($A151="","",ROUND(O151*(1-P151),2))</f>
        <v/>
      </c>
      <c r="R151" s="3">
        <f>IF($A151="","",IF(Q151&gt;=参数配置!$B$12,"极高",IF(Q151&gt;=参数配置!$B$13,"高",IF(Q151&gt;=参数配置!$B$14,"中",IF(Q151&gt;=参数配置!$B$15,"低","极低")))))</f>
        <v/>
      </c>
      <c r="S151" s="3">
        <f>IF($A151="","",ROUND(M151,0))</f>
        <v/>
      </c>
      <c r="T151" s="3">
        <f>IF($A151="","",ROUND(N151,0))</f>
        <v/>
      </c>
      <c r="U151" s="3">
        <f>IF($A151="","",IF(R151="极高","每年必审",IF(R151="高","每年审计",IF(R151="中","两年一轮","按需抽查"))))</f>
        <v/>
      </c>
      <c r="V151" s="21">
        <f>IF($A151="","",IF(N151=0,"",(N151-Q151)/N151))</f>
        <v/>
      </c>
    </row>
    <row r="152">
      <c r="M152" s="20">
        <f>IF($A152="","",ROUND(MAX(SUMPRODUCT(H152:L152,IFERROR(VLOOKUP($C152,参数配置!$A$26:$F$38,{2,3,4,5,6},FALSE),VLOOKUP(参数配置!$A$26,参数配置!$A$26:$F$38,{2,3,4,5,6},FALSE))),参数配置!$E$13*MAX(H152:L152)),2))</f>
        <v/>
      </c>
      <c r="N152" s="20">
        <f>IF($A152="","",ROUND(G152*M152,2))</f>
        <v/>
      </c>
      <c r="O152" s="3">
        <f>IF($A152="","",IF(COUNTIFS(控制措施表!$B:$B,$A152,控制措施表!$C:$C,$F152,控制措施表!$F:$F,"是")=0,IF(COUNTIFS(控制措施表!$B:$B,$A152,控制措施表!$C:$C,$F152)=0,"",MINIFS(控制措施表!$E:$E,控制措施表!$B:$B,$A152,控制措施表!$C:$C,$F152)),MINIFS(控制措施表!$E:$E,控制措施表!$B:$B,$A152,控制措施表!$C:$C,$F152,控制措施表!$F:$F,"是")))</f>
        <v/>
      </c>
      <c r="P152" s="21">
        <f>IF($A152="","",IF(N152="",0,VLOOKUP(N152,参数配置!$D$4:$E$8,2,FALSE)))</f>
        <v/>
      </c>
      <c r="Q152" s="20">
        <f>IF($A152="","",ROUND(O152*(1-P152),2))</f>
        <v/>
      </c>
      <c r="R152" s="3">
        <f>IF($A152="","",IF(Q152&gt;=参数配置!$B$12,"极高",IF(Q152&gt;=参数配置!$B$13,"高",IF(Q152&gt;=参数配置!$B$14,"中",IF(Q152&gt;=参数配置!$B$15,"低","极低")))))</f>
        <v/>
      </c>
      <c r="S152" s="3">
        <f>IF($A152="","",ROUND(M152,0))</f>
        <v/>
      </c>
      <c r="T152" s="3">
        <f>IF($A152="","",ROUND(N152,0))</f>
        <v/>
      </c>
      <c r="U152" s="3">
        <f>IF($A152="","",IF(R152="极高","每年必审",IF(R152="高","每年审计",IF(R152="中","两年一轮","按需抽查"))))</f>
        <v/>
      </c>
      <c r="V152" s="21">
        <f>IF($A152="","",IF(N152=0,"",(N152-Q152)/N152))</f>
        <v/>
      </c>
    </row>
    <row r="153">
      <c r="M153" s="20">
        <f>IF($A153="","",ROUND(MAX(SUMPRODUCT(H153:L153,IFERROR(VLOOKUP($C153,参数配置!$A$26:$F$38,{2,3,4,5,6},FALSE),VLOOKUP(参数配置!$A$26,参数配置!$A$26:$F$38,{2,3,4,5,6},FALSE))),参数配置!$E$13*MAX(H153:L153)),2))</f>
        <v/>
      </c>
      <c r="N153" s="20">
        <f>IF($A153="","",ROUND(G153*M153,2))</f>
        <v/>
      </c>
      <c r="O153" s="3">
        <f>IF($A153="","",IF(COUNTIFS(控制措施表!$B:$B,$A153,控制措施表!$C:$C,$F153,控制措施表!$F:$F,"是")=0,IF(COUNTIFS(控制措施表!$B:$B,$A153,控制措施表!$C:$C,$F153)=0,"",MINIFS(控制措施表!$E:$E,控制措施表!$B:$B,$A153,控制措施表!$C:$C,$F153)),MINIFS(控制措施表!$E:$E,控制措施表!$B:$B,$A153,控制措施表!$C:$C,$F153,控制措施表!$F:$F,"是")))</f>
        <v/>
      </c>
      <c r="P153" s="21">
        <f>IF($A153="","",IF(N153="",0,VLOOKUP(N153,参数配置!$D$4:$E$8,2,FALSE)))</f>
        <v/>
      </c>
      <c r="Q153" s="20">
        <f>IF($A153="","",ROUND(O153*(1-P153),2))</f>
        <v/>
      </c>
      <c r="R153" s="3">
        <f>IF($A153="","",IF(Q153&gt;=参数配置!$B$12,"极高",IF(Q153&gt;=参数配置!$B$13,"高",IF(Q153&gt;=参数配置!$B$14,"中",IF(Q153&gt;=参数配置!$B$15,"低","极低")))))</f>
        <v/>
      </c>
      <c r="S153" s="3">
        <f>IF($A153="","",ROUND(M153,0))</f>
        <v/>
      </c>
      <c r="T153" s="3">
        <f>IF($A153="","",ROUND(N153,0))</f>
        <v/>
      </c>
      <c r="U153" s="3">
        <f>IF($A153="","",IF(R153="极高","每年必审",IF(R153="高","每年审计",IF(R153="中","两年一轮","按需抽查"))))</f>
        <v/>
      </c>
      <c r="V153" s="21">
        <f>IF($A153="","",IF(N153=0,"",(N153-Q153)/N153))</f>
        <v/>
      </c>
    </row>
    <row r="154">
      <c r="M154" s="20">
        <f>IF($A154="","",ROUND(MAX(SUMPRODUCT(H154:L154,IFERROR(VLOOKUP($C154,参数配置!$A$26:$F$38,{2,3,4,5,6},FALSE),VLOOKUP(参数配置!$A$26,参数配置!$A$26:$F$38,{2,3,4,5,6},FALSE))),参数配置!$E$13*MAX(H154:L154)),2))</f>
        <v/>
      </c>
      <c r="N154" s="20">
        <f>IF($A154="","",ROUND(G154*M154,2))</f>
        <v/>
      </c>
      <c r="O154" s="3">
        <f>IF($A154="","",IF(COUNTIFS(控制措施表!$B:$B,$A154,控制措施表!$C:$C,$F154,控制措施表!$F:$F,"是")=0,IF(COUNTIFS(控制措施表!$B:$B,$A154,控制措施表!$C:$C,$F154)=0,"",MINIFS(控制措施表!$E:$E,控制措施表!$B:$B,$A154,控制措施表!$C:$C,$F154)),MINIFS(控制措施表!$E:$E,控制措施表!$B:$B,$A154,控制措施表!$C:$C,$F154,控制措施表!$F:$F,"是")))</f>
        <v/>
      </c>
      <c r="P154" s="21">
        <f>IF($A154="","",IF(N154="",0,VLOOKUP(N154,参数配置!$D$4:$E$8,2,FALSE)))</f>
        <v/>
      </c>
      <c r="Q154" s="20">
        <f>IF($A154="","",ROUND(O154*(1-P154),2))</f>
        <v/>
      </c>
      <c r="R154" s="3">
        <f>IF($A154="","",IF(Q154&gt;=参数配置!$B$12,"极高",IF(Q154&gt;=参数配置!$B$13,"高",IF(Q154&gt;=参数配置!$B$14,"中",IF(Q154&gt;=参数配置!$B$15,"低","极低")))))</f>
        <v/>
      </c>
      <c r="S154" s="3">
        <f>IF($A154="","",ROUND(M154,0))</f>
        <v/>
      </c>
      <c r="T154" s="3">
        <f>IF($A154="","",ROUND(N154,0))</f>
        <v/>
      </c>
      <c r="U154" s="3">
        <f>IF($A154="","",IF(R154="极高","每年必审",IF(R154="高","每年审计",IF(R154="中","两年一轮","按需抽查"))))</f>
        <v/>
      </c>
      <c r="V154" s="21">
        <f>IF($A154="","",IF(N154=0,"",(N154-Q154)/N154))</f>
        <v/>
      </c>
    </row>
    <row r="155">
      <c r="M155" s="20">
        <f>IF($A155="","",ROUND(MAX(SUMPRODUCT(H155:L155,IFERROR(VLOOKUP($C155,参数配置!$A$26:$F$38,{2,3,4,5,6},FALSE),VLOOKUP(参数配置!$A$26,参数配置!$A$26:$F$38,{2,3,4,5,6},FALSE))),参数配置!$E$13*MAX(H155:L155)),2))</f>
        <v/>
      </c>
      <c r="N155" s="20">
        <f>IF($A155="","",ROUND(G155*M155,2))</f>
        <v/>
      </c>
      <c r="O155" s="3">
        <f>IF($A155="","",IF(COUNTIFS(控制措施表!$B:$B,$A155,控制措施表!$C:$C,$F155,控制措施表!$F:$F,"是")=0,IF(COUNTIFS(控制措施表!$B:$B,$A155,控制措施表!$C:$C,$F155)=0,"",MINIFS(控制措施表!$E:$E,控制措施表!$B:$B,$A155,控制措施表!$C:$C,$F155)),MINIFS(控制措施表!$E:$E,控制措施表!$B:$B,$A155,控制措施表!$C:$C,$F155,控制措施表!$F:$F,"是")))</f>
        <v/>
      </c>
      <c r="P155" s="21">
        <f>IF($A155="","",IF(N155="",0,VLOOKUP(N155,参数配置!$D$4:$E$8,2,FALSE)))</f>
        <v/>
      </c>
      <c r="Q155" s="20">
        <f>IF($A155="","",ROUND(O155*(1-P155),2))</f>
        <v/>
      </c>
      <c r="R155" s="3">
        <f>IF($A155="","",IF(Q155&gt;=参数配置!$B$12,"极高",IF(Q155&gt;=参数配置!$B$13,"高",IF(Q155&gt;=参数配置!$B$14,"中",IF(Q155&gt;=参数配置!$B$15,"低","极低")))))</f>
        <v/>
      </c>
      <c r="S155" s="3">
        <f>IF($A155="","",ROUND(M155,0))</f>
        <v/>
      </c>
      <c r="T155" s="3">
        <f>IF($A155="","",ROUND(N155,0))</f>
        <v/>
      </c>
      <c r="U155" s="3">
        <f>IF($A155="","",IF(R155="极高","每年必审",IF(R155="高","每年审计",IF(R155="中","两年一轮","按需抽查"))))</f>
        <v/>
      </c>
      <c r="V155" s="21">
        <f>IF($A155="","",IF(N155=0,"",(N155-Q155)/N155))</f>
        <v/>
      </c>
    </row>
    <row r="156">
      <c r="M156" s="20">
        <f>IF($A156="","",ROUND(MAX(SUMPRODUCT(H156:L156,IFERROR(VLOOKUP($C156,参数配置!$A$26:$F$38,{2,3,4,5,6},FALSE),VLOOKUP(参数配置!$A$26,参数配置!$A$26:$F$38,{2,3,4,5,6},FALSE))),参数配置!$E$13*MAX(H156:L156)),2))</f>
        <v/>
      </c>
      <c r="N156" s="20">
        <f>IF($A156="","",ROUND(G156*M156,2))</f>
        <v/>
      </c>
      <c r="O156" s="3">
        <f>IF($A156="","",IF(COUNTIFS(控制措施表!$B:$B,$A156,控制措施表!$C:$C,$F156,控制措施表!$F:$F,"是")=0,IF(COUNTIFS(控制措施表!$B:$B,$A156,控制措施表!$C:$C,$F156)=0,"",MINIFS(控制措施表!$E:$E,控制措施表!$B:$B,$A156,控制措施表!$C:$C,$F156)),MINIFS(控制措施表!$E:$E,控制措施表!$B:$B,$A156,控制措施表!$C:$C,$F156,控制措施表!$F:$F,"是")))</f>
        <v/>
      </c>
      <c r="P156" s="21">
        <f>IF($A156="","",IF(N156="",0,VLOOKUP(N156,参数配置!$D$4:$E$8,2,FALSE)))</f>
        <v/>
      </c>
      <c r="Q156" s="20">
        <f>IF($A156="","",ROUND(O156*(1-P156),2))</f>
        <v/>
      </c>
      <c r="R156" s="3">
        <f>IF($A156="","",IF(Q156&gt;=参数配置!$B$12,"极高",IF(Q156&gt;=参数配置!$B$13,"高",IF(Q156&gt;=参数配置!$B$14,"中",IF(Q156&gt;=参数配置!$B$15,"低","极低")))))</f>
        <v/>
      </c>
      <c r="S156" s="3">
        <f>IF($A156="","",ROUND(M156,0))</f>
        <v/>
      </c>
      <c r="T156" s="3">
        <f>IF($A156="","",ROUND(N156,0))</f>
        <v/>
      </c>
      <c r="U156" s="3">
        <f>IF($A156="","",IF(R156="极高","每年必审",IF(R156="高","每年审计",IF(R156="中","两年一轮","按需抽查"))))</f>
        <v/>
      </c>
      <c r="V156" s="21">
        <f>IF($A156="","",IF(N156=0,"",(N156-Q156)/N156))</f>
        <v/>
      </c>
    </row>
    <row r="157">
      <c r="M157" s="20">
        <f>IF($A157="","",ROUND(MAX(SUMPRODUCT(H157:L157,IFERROR(VLOOKUP($C157,参数配置!$A$26:$F$38,{2,3,4,5,6},FALSE),VLOOKUP(参数配置!$A$26,参数配置!$A$26:$F$38,{2,3,4,5,6},FALSE))),参数配置!$E$13*MAX(H157:L157)),2))</f>
        <v/>
      </c>
      <c r="N157" s="20">
        <f>IF($A157="","",ROUND(G157*M157,2))</f>
        <v/>
      </c>
      <c r="O157" s="3">
        <f>IF($A157="","",IF(COUNTIFS(控制措施表!$B:$B,$A157,控制措施表!$C:$C,$F157,控制措施表!$F:$F,"是")=0,IF(COUNTIFS(控制措施表!$B:$B,$A157,控制措施表!$C:$C,$F157)=0,"",MINIFS(控制措施表!$E:$E,控制措施表!$B:$B,$A157,控制措施表!$C:$C,$F157)),MINIFS(控制措施表!$E:$E,控制措施表!$B:$B,$A157,控制措施表!$C:$C,$F157,控制措施表!$F:$F,"是")))</f>
        <v/>
      </c>
      <c r="P157" s="21">
        <f>IF($A157="","",IF(N157="",0,VLOOKUP(N157,参数配置!$D$4:$E$8,2,FALSE)))</f>
        <v/>
      </c>
      <c r="Q157" s="20">
        <f>IF($A157="","",ROUND(O157*(1-P157),2))</f>
        <v/>
      </c>
      <c r="R157" s="3">
        <f>IF($A157="","",IF(Q157&gt;=参数配置!$B$12,"极高",IF(Q157&gt;=参数配置!$B$13,"高",IF(Q157&gt;=参数配置!$B$14,"中",IF(Q157&gt;=参数配置!$B$15,"低","极低")))))</f>
        <v/>
      </c>
      <c r="S157" s="3">
        <f>IF($A157="","",ROUND(M157,0))</f>
        <v/>
      </c>
      <c r="T157" s="3">
        <f>IF($A157="","",ROUND(N157,0))</f>
        <v/>
      </c>
      <c r="U157" s="3">
        <f>IF($A157="","",IF(R157="极高","每年必审",IF(R157="高","每年审计",IF(R157="中","两年一轮","按需抽查"))))</f>
        <v/>
      </c>
      <c r="V157" s="21">
        <f>IF($A157="","",IF(N157=0,"",(N157-Q157)/N157))</f>
        <v/>
      </c>
    </row>
    <row r="158">
      <c r="M158" s="20">
        <f>IF($A158="","",ROUND(MAX(SUMPRODUCT(H158:L158,IFERROR(VLOOKUP($C158,参数配置!$A$26:$F$38,{2,3,4,5,6},FALSE),VLOOKUP(参数配置!$A$26,参数配置!$A$26:$F$38,{2,3,4,5,6},FALSE))),参数配置!$E$13*MAX(H158:L158)),2))</f>
        <v/>
      </c>
      <c r="N158" s="20">
        <f>IF($A158="","",ROUND(G158*M158,2))</f>
        <v/>
      </c>
      <c r="O158" s="3">
        <f>IF($A158="","",IF(COUNTIFS(控制措施表!$B:$B,$A158,控制措施表!$C:$C,$F158,控制措施表!$F:$F,"是")=0,IF(COUNTIFS(控制措施表!$B:$B,$A158,控制措施表!$C:$C,$F158)=0,"",MINIFS(控制措施表!$E:$E,控制措施表!$B:$B,$A158,控制措施表!$C:$C,$F158)),MINIFS(控制措施表!$E:$E,控制措施表!$B:$B,$A158,控制措施表!$C:$C,$F158,控制措施表!$F:$F,"是")))</f>
        <v/>
      </c>
      <c r="P158" s="21">
        <f>IF($A158="","",IF(N158="",0,VLOOKUP(N158,参数配置!$D$4:$E$8,2,FALSE)))</f>
        <v/>
      </c>
      <c r="Q158" s="20">
        <f>IF($A158="","",ROUND(O158*(1-P158),2))</f>
        <v/>
      </c>
      <c r="R158" s="3">
        <f>IF($A158="","",IF(Q158&gt;=参数配置!$B$12,"极高",IF(Q158&gt;=参数配置!$B$13,"高",IF(Q158&gt;=参数配置!$B$14,"中",IF(Q158&gt;=参数配置!$B$15,"低","极低")))))</f>
        <v/>
      </c>
      <c r="S158" s="3">
        <f>IF($A158="","",ROUND(M158,0))</f>
        <v/>
      </c>
      <c r="T158" s="3">
        <f>IF($A158="","",ROUND(N158,0))</f>
        <v/>
      </c>
      <c r="U158" s="3">
        <f>IF($A158="","",IF(R158="极高","每年必审",IF(R158="高","每年审计",IF(R158="中","两年一轮","按需抽查"))))</f>
        <v/>
      </c>
      <c r="V158" s="21">
        <f>IF($A158="","",IF(N158=0,"",(N158-Q158)/N158))</f>
        <v/>
      </c>
    </row>
    <row r="159">
      <c r="M159" s="20">
        <f>IF($A159="","",ROUND(MAX(SUMPRODUCT(H159:L159,IFERROR(VLOOKUP($C159,参数配置!$A$26:$F$38,{2,3,4,5,6},FALSE),VLOOKUP(参数配置!$A$26,参数配置!$A$26:$F$38,{2,3,4,5,6},FALSE))),参数配置!$E$13*MAX(H159:L159)),2))</f>
        <v/>
      </c>
      <c r="N159" s="20">
        <f>IF($A159="","",ROUND(G159*M159,2))</f>
        <v/>
      </c>
      <c r="O159" s="3">
        <f>IF($A159="","",IF(COUNTIFS(控制措施表!$B:$B,$A159,控制措施表!$C:$C,$F159,控制措施表!$F:$F,"是")=0,IF(COUNTIFS(控制措施表!$B:$B,$A159,控制措施表!$C:$C,$F159)=0,"",MINIFS(控制措施表!$E:$E,控制措施表!$B:$B,$A159,控制措施表!$C:$C,$F159)),MINIFS(控制措施表!$E:$E,控制措施表!$B:$B,$A159,控制措施表!$C:$C,$F159,控制措施表!$F:$F,"是")))</f>
        <v/>
      </c>
      <c r="P159" s="21">
        <f>IF($A159="","",IF(N159="",0,VLOOKUP(N159,参数配置!$D$4:$E$8,2,FALSE)))</f>
        <v/>
      </c>
      <c r="Q159" s="20">
        <f>IF($A159="","",ROUND(O159*(1-P159),2))</f>
        <v/>
      </c>
      <c r="R159" s="3">
        <f>IF($A159="","",IF(Q159&gt;=参数配置!$B$12,"极高",IF(Q159&gt;=参数配置!$B$13,"高",IF(Q159&gt;=参数配置!$B$14,"中",IF(Q159&gt;=参数配置!$B$15,"低","极低")))))</f>
        <v/>
      </c>
      <c r="S159" s="3">
        <f>IF($A159="","",ROUND(M159,0))</f>
        <v/>
      </c>
      <c r="T159" s="3">
        <f>IF($A159="","",ROUND(N159,0))</f>
        <v/>
      </c>
      <c r="U159" s="3">
        <f>IF($A159="","",IF(R159="极高","每年必审",IF(R159="高","每年审计",IF(R159="中","两年一轮","按需抽查"))))</f>
        <v/>
      </c>
      <c r="V159" s="21">
        <f>IF($A159="","",IF(N159=0,"",(N159-Q159)/N159))</f>
        <v/>
      </c>
    </row>
    <row r="160">
      <c r="M160" s="20">
        <f>IF($A160="","",ROUND(MAX(SUMPRODUCT(H160:L160,IFERROR(VLOOKUP($C160,参数配置!$A$26:$F$38,{2,3,4,5,6},FALSE),VLOOKUP(参数配置!$A$26,参数配置!$A$26:$F$38,{2,3,4,5,6},FALSE))),参数配置!$E$13*MAX(H160:L160)),2))</f>
        <v/>
      </c>
      <c r="N160" s="20">
        <f>IF($A160="","",ROUND(G160*M160,2))</f>
        <v/>
      </c>
      <c r="O160" s="3">
        <f>IF($A160="","",IF(COUNTIFS(控制措施表!$B:$B,$A160,控制措施表!$C:$C,$F160,控制措施表!$F:$F,"是")=0,IF(COUNTIFS(控制措施表!$B:$B,$A160,控制措施表!$C:$C,$F160)=0,"",MINIFS(控制措施表!$E:$E,控制措施表!$B:$B,$A160,控制措施表!$C:$C,$F160)),MINIFS(控制措施表!$E:$E,控制措施表!$B:$B,$A160,控制措施表!$C:$C,$F160,控制措施表!$F:$F,"是")))</f>
        <v/>
      </c>
      <c r="P160" s="21">
        <f>IF($A160="","",IF(N160="",0,VLOOKUP(N160,参数配置!$D$4:$E$8,2,FALSE)))</f>
        <v/>
      </c>
      <c r="Q160" s="20">
        <f>IF($A160="","",ROUND(O160*(1-P160),2))</f>
        <v/>
      </c>
      <c r="R160" s="3">
        <f>IF($A160="","",IF(Q160&gt;=参数配置!$B$12,"极高",IF(Q160&gt;=参数配置!$B$13,"高",IF(Q160&gt;=参数配置!$B$14,"中",IF(Q160&gt;=参数配置!$B$15,"低","极低")))))</f>
        <v/>
      </c>
      <c r="S160" s="3">
        <f>IF($A160="","",ROUND(M160,0))</f>
        <v/>
      </c>
      <c r="T160" s="3">
        <f>IF($A160="","",ROUND(N160,0))</f>
        <v/>
      </c>
      <c r="U160" s="3">
        <f>IF($A160="","",IF(R160="极高","每年必审",IF(R160="高","每年审计",IF(R160="中","两年一轮","按需抽查"))))</f>
        <v/>
      </c>
      <c r="V160" s="21">
        <f>IF($A160="","",IF(N160=0,"",(N160-Q160)/N160))</f>
        <v/>
      </c>
    </row>
    <row r="161">
      <c r="M161" s="20">
        <f>IF($A161="","",ROUND(MAX(SUMPRODUCT(H161:L161,IFERROR(VLOOKUP($C161,参数配置!$A$26:$F$38,{2,3,4,5,6},FALSE),VLOOKUP(参数配置!$A$26,参数配置!$A$26:$F$38,{2,3,4,5,6},FALSE))),参数配置!$E$13*MAX(H161:L161)),2))</f>
        <v/>
      </c>
      <c r="N161" s="20">
        <f>IF($A161="","",ROUND(G161*M161,2))</f>
        <v/>
      </c>
      <c r="O161" s="3">
        <f>IF($A161="","",IF(COUNTIFS(控制措施表!$B:$B,$A161,控制措施表!$C:$C,$F161,控制措施表!$F:$F,"是")=0,IF(COUNTIFS(控制措施表!$B:$B,$A161,控制措施表!$C:$C,$F161)=0,"",MINIFS(控制措施表!$E:$E,控制措施表!$B:$B,$A161,控制措施表!$C:$C,$F161)),MINIFS(控制措施表!$E:$E,控制措施表!$B:$B,$A161,控制措施表!$C:$C,$F161,控制措施表!$F:$F,"是")))</f>
        <v/>
      </c>
      <c r="P161" s="21">
        <f>IF($A161="","",IF(N161="",0,VLOOKUP(N161,参数配置!$D$4:$E$8,2,FALSE)))</f>
        <v/>
      </c>
      <c r="Q161" s="20">
        <f>IF($A161="","",ROUND(O161*(1-P161),2))</f>
        <v/>
      </c>
      <c r="R161" s="3">
        <f>IF($A161="","",IF(Q161&gt;=参数配置!$B$12,"极高",IF(Q161&gt;=参数配置!$B$13,"高",IF(Q161&gt;=参数配置!$B$14,"中",IF(Q161&gt;=参数配置!$B$15,"低","极低")))))</f>
        <v/>
      </c>
      <c r="S161" s="3">
        <f>IF($A161="","",ROUND(M161,0))</f>
        <v/>
      </c>
      <c r="T161" s="3">
        <f>IF($A161="","",ROUND(N161,0))</f>
        <v/>
      </c>
      <c r="U161" s="3">
        <f>IF($A161="","",IF(R161="极高","每年必审",IF(R161="高","每年审计",IF(R161="中","两年一轮","按需抽查"))))</f>
        <v/>
      </c>
      <c r="V161" s="21">
        <f>IF($A161="","",IF(N161=0,"",(N161-Q161)/N161))</f>
        <v/>
      </c>
    </row>
    <row r="162">
      <c r="M162" s="20">
        <f>IF($A162="","",ROUND(MAX(SUMPRODUCT(H162:L162,IFERROR(VLOOKUP($C162,参数配置!$A$26:$F$38,{2,3,4,5,6},FALSE),VLOOKUP(参数配置!$A$26,参数配置!$A$26:$F$38,{2,3,4,5,6},FALSE))),参数配置!$E$13*MAX(H162:L162)),2))</f>
        <v/>
      </c>
      <c r="N162" s="20">
        <f>IF($A162="","",ROUND(G162*M162,2))</f>
        <v/>
      </c>
      <c r="O162" s="3">
        <f>IF($A162="","",IF(COUNTIFS(控制措施表!$B:$B,$A162,控制措施表!$C:$C,$F162,控制措施表!$F:$F,"是")=0,IF(COUNTIFS(控制措施表!$B:$B,$A162,控制措施表!$C:$C,$F162)=0,"",MINIFS(控制措施表!$E:$E,控制措施表!$B:$B,$A162,控制措施表!$C:$C,$F162)),MINIFS(控制措施表!$E:$E,控制措施表!$B:$B,$A162,控制措施表!$C:$C,$F162,控制措施表!$F:$F,"是")))</f>
        <v/>
      </c>
      <c r="P162" s="21">
        <f>IF($A162="","",IF(N162="",0,VLOOKUP(N162,参数配置!$D$4:$E$8,2,FALSE)))</f>
        <v/>
      </c>
      <c r="Q162" s="20">
        <f>IF($A162="","",ROUND(O162*(1-P162),2))</f>
        <v/>
      </c>
      <c r="R162" s="3">
        <f>IF($A162="","",IF(Q162&gt;=参数配置!$B$12,"极高",IF(Q162&gt;=参数配置!$B$13,"高",IF(Q162&gt;=参数配置!$B$14,"中",IF(Q162&gt;=参数配置!$B$15,"低","极低")))))</f>
        <v/>
      </c>
      <c r="S162" s="3">
        <f>IF($A162="","",ROUND(M162,0))</f>
        <v/>
      </c>
      <c r="T162" s="3">
        <f>IF($A162="","",ROUND(N162,0))</f>
        <v/>
      </c>
      <c r="U162" s="3">
        <f>IF($A162="","",IF(R162="极高","每年必审",IF(R162="高","每年审计",IF(R162="中","两年一轮","按需抽查"))))</f>
        <v/>
      </c>
      <c r="V162" s="21">
        <f>IF($A162="","",IF(N162=0,"",(N162-Q162)/N162))</f>
        <v/>
      </c>
    </row>
    <row r="163">
      <c r="M163" s="20">
        <f>IF($A163="","",ROUND(MAX(SUMPRODUCT(H163:L163,IFERROR(VLOOKUP($C163,参数配置!$A$26:$F$38,{2,3,4,5,6},FALSE),VLOOKUP(参数配置!$A$26,参数配置!$A$26:$F$38,{2,3,4,5,6},FALSE))),参数配置!$E$13*MAX(H163:L163)),2))</f>
        <v/>
      </c>
      <c r="N163" s="20">
        <f>IF($A163="","",ROUND(G163*M163,2))</f>
        <v/>
      </c>
      <c r="O163" s="3">
        <f>IF($A163="","",IF(COUNTIFS(控制措施表!$B:$B,$A163,控制措施表!$C:$C,$F163,控制措施表!$F:$F,"是")=0,IF(COUNTIFS(控制措施表!$B:$B,$A163,控制措施表!$C:$C,$F163)=0,"",MINIFS(控制措施表!$E:$E,控制措施表!$B:$B,$A163,控制措施表!$C:$C,$F163)),MINIFS(控制措施表!$E:$E,控制措施表!$B:$B,$A163,控制措施表!$C:$C,$F163,控制措施表!$F:$F,"是")))</f>
        <v/>
      </c>
      <c r="P163" s="21">
        <f>IF($A163="","",IF(N163="",0,VLOOKUP(N163,参数配置!$D$4:$E$8,2,FALSE)))</f>
        <v/>
      </c>
      <c r="Q163" s="20">
        <f>IF($A163="","",ROUND(O163*(1-P163),2))</f>
        <v/>
      </c>
      <c r="R163" s="3">
        <f>IF($A163="","",IF(Q163&gt;=参数配置!$B$12,"极高",IF(Q163&gt;=参数配置!$B$13,"高",IF(Q163&gt;=参数配置!$B$14,"中",IF(Q163&gt;=参数配置!$B$15,"低","极低")))))</f>
        <v/>
      </c>
      <c r="S163" s="3">
        <f>IF($A163="","",ROUND(M163,0))</f>
        <v/>
      </c>
      <c r="T163" s="3">
        <f>IF($A163="","",ROUND(N163,0))</f>
        <v/>
      </c>
      <c r="U163" s="3">
        <f>IF($A163="","",IF(R163="极高","每年必审",IF(R163="高","每年审计",IF(R163="中","两年一轮","按需抽查"))))</f>
        <v/>
      </c>
      <c r="V163" s="21">
        <f>IF($A163="","",IF(N163=0,"",(N163-Q163)/N163))</f>
        <v/>
      </c>
    </row>
    <row r="164">
      <c r="M164" s="20">
        <f>IF($A164="","",ROUND(MAX(SUMPRODUCT(H164:L164,IFERROR(VLOOKUP($C164,参数配置!$A$26:$F$38,{2,3,4,5,6},FALSE),VLOOKUP(参数配置!$A$26,参数配置!$A$26:$F$38,{2,3,4,5,6},FALSE))),参数配置!$E$13*MAX(H164:L164)),2))</f>
        <v/>
      </c>
      <c r="N164" s="20">
        <f>IF($A164="","",ROUND(G164*M164,2))</f>
        <v/>
      </c>
      <c r="O164" s="3">
        <f>IF($A164="","",IF(COUNTIFS(控制措施表!$B:$B,$A164,控制措施表!$C:$C,$F164,控制措施表!$F:$F,"是")=0,IF(COUNTIFS(控制措施表!$B:$B,$A164,控制措施表!$C:$C,$F164)=0,"",MINIFS(控制措施表!$E:$E,控制措施表!$B:$B,$A164,控制措施表!$C:$C,$F164)),MINIFS(控制措施表!$E:$E,控制措施表!$B:$B,$A164,控制措施表!$C:$C,$F164,控制措施表!$F:$F,"是")))</f>
        <v/>
      </c>
      <c r="P164" s="21">
        <f>IF($A164="","",IF(N164="",0,VLOOKUP(N164,参数配置!$D$4:$E$8,2,FALSE)))</f>
        <v/>
      </c>
      <c r="Q164" s="20">
        <f>IF($A164="","",ROUND(O164*(1-P164),2))</f>
        <v/>
      </c>
      <c r="R164" s="3">
        <f>IF($A164="","",IF(Q164&gt;=参数配置!$B$12,"极高",IF(Q164&gt;=参数配置!$B$13,"高",IF(Q164&gt;=参数配置!$B$14,"中",IF(Q164&gt;=参数配置!$B$15,"低","极低")))))</f>
        <v/>
      </c>
      <c r="S164" s="3">
        <f>IF($A164="","",ROUND(M164,0))</f>
        <v/>
      </c>
      <c r="T164" s="3">
        <f>IF($A164="","",ROUND(N164,0))</f>
        <v/>
      </c>
      <c r="U164" s="3">
        <f>IF($A164="","",IF(R164="极高","每年必审",IF(R164="高","每年审计",IF(R164="中","两年一轮","按需抽查"))))</f>
        <v/>
      </c>
      <c r="V164" s="21">
        <f>IF($A164="","",IF(N164=0,"",(N164-Q164)/N164))</f>
        <v/>
      </c>
    </row>
    <row r="165">
      <c r="M165" s="20">
        <f>IF($A165="","",ROUND(MAX(SUMPRODUCT(H165:L165,IFERROR(VLOOKUP($C165,参数配置!$A$26:$F$38,{2,3,4,5,6},FALSE),VLOOKUP(参数配置!$A$26,参数配置!$A$26:$F$38,{2,3,4,5,6},FALSE))),参数配置!$E$13*MAX(H165:L165)),2))</f>
        <v/>
      </c>
      <c r="N165" s="20">
        <f>IF($A165="","",ROUND(G165*M165,2))</f>
        <v/>
      </c>
      <c r="O165" s="3">
        <f>IF($A165="","",IF(COUNTIFS(控制措施表!$B:$B,$A165,控制措施表!$C:$C,$F165,控制措施表!$F:$F,"是")=0,IF(COUNTIFS(控制措施表!$B:$B,$A165,控制措施表!$C:$C,$F165)=0,"",MINIFS(控制措施表!$E:$E,控制措施表!$B:$B,$A165,控制措施表!$C:$C,$F165)),MINIFS(控制措施表!$E:$E,控制措施表!$B:$B,$A165,控制措施表!$C:$C,$F165,控制措施表!$F:$F,"是")))</f>
        <v/>
      </c>
      <c r="P165" s="21">
        <f>IF($A165="","",IF(N165="",0,VLOOKUP(N165,参数配置!$D$4:$E$8,2,FALSE)))</f>
        <v/>
      </c>
      <c r="Q165" s="20">
        <f>IF($A165="","",ROUND(O165*(1-P165),2))</f>
        <v/>
      </c>
      <c r="R165" s="3">
        <f>IF($A165="","",IF(Q165&gt;=参数配置!$B$12,"极高",IF(Q165&gt;=参数配置!$B$13,"高",IF(Q165&gt;=参数配置!$B$14,"中",IF(Q165&gt;=参数配置!$B$15,"低","极低")))))</f>
        <v/>
      </c>
      <c r="S165" s="3">
        <f>IF($A165="","",ROUND(M165,0))</f>
        <v/>
      </c>
      <c r="T165" s="3">
        <f>IF($A165="","",ROUND(N165,0))</f>
        <v/>
      </c>
      <c r="U165" s="3">
        <f>IF($A165="","",IF(R165="极高","每年必审",IF(R165="高","每年审计",IF(R165="中","两年一轮","按需抽查"))))</f>
        <v/>
      </c>
      <c r="V165" s="21">
        <f>IF($A165="","",IF(N165=0,"",(N165-Q165)/N165))</f>
        <v/>
      </c>
    </row>
    <row r="166">
      <c r="M166" s="20">
        <f>IF($A166="","",ROUND(MAX(SUMPRODUCT(H166:L166,IFERROR(VLOOKUP($C166,参数配置!$A$26:$F$38,{2,3,4,5,6},FALSE),VLOOKUP(参数配置!$A$26,参数配置!$A$26:$F$38,{2,3,4,5,6},FALSE))),参数配置!$E$13*MAX(H166:L166)),2))</f>
        <v/>
      </c>
      <c r="N166" s="20">
        <f>IF($A166="","",ROUND(G166*M166,2))</f>
        <v/>
      </c>
      <c r="O166" s="3">
        <f>IF($A166="","",IF(COUNTIFS(控制措施表!$B:$B,$A166,控制措施表!$C:$C,$F166,控制措施表!$F:$F,"是")=0,IF(COUNTIFS(控制措施表!$B:$B,$A166,控制措施表!$C:$C,$F166)=0,"",MINIFS(控制措施表!$E:$E,控制措施表!$B:$B,$A166,控制措施表!$C:$C,$F166)),MINIFS(控制措施表!$E:$E,控制措施表!$B:$B,$A166,控制措施表!$C:$C,$F166,控制措施表!$F:$F,"是")))</f>
        <v/>
      </c>
      <c r="P166" s="21">
        <f>IF($A166="","",IF(N166="",0,VLOOKUP(N166,参数配置!$D$4:$E$8,2,FALSE)))</f>
        <v/>
      </c>
      <c r="Q166" s="20">
        <f>IF($A166="","",ROUND(O166*(1-P166),2))</f>
        <v/>
      </c>
      <c r="R166" s="3">
        <f>IF($A166="","",IF(Q166&gt;=参数配置!$B$12,"极高",IF(Q166&gt;=参数配置!$B$13,"高",IF(Q166&gt;=参数配置!$B$14,"中",IF(Q166&gt;=参数配置!$B$15,"低","极低")))))</f>
        <v/>
      </c>
      <c r="S166" s="3">
        <f>IF($A166="","",ROUND(M166,0))</f>
        <v/>
      </c>
      <c r="T166" s="3">
        <f>IF($A166="","",ROUND(N166,0))</f>
        <v/>
      </c>
      <c r="U166" s="3">
        <f>IF($A166="","",IF(R166="极高","每年必审",IF(R166="高","每年审计",IF(R166="中","两年一轮","按需抽查"))))</f>
        <v/>
      </c>
      <c r="V166" s="21">
        <f>IF($A166="","",IF(N166=0,"",(N166-Q166)/N166))</f>
        <v/>
      </c>
    </row>
    <row r="167">
      <c r="M167" s="20">
        <f>IF($A167="","",ROUND(MAX(SUMPRODUCT(H167:L167,IFERROR(VLOOKUP($C167,参数配置!$A$26:$F$38,{2,3,4,5,6},FALSE),VLOOKUP(参数配置!$A$26,参数配置!$A$26:$F$38,{2,3,4,5,6},FALSE))),参数配置!$E$13*MAX(H167:L167)),2))</f>
        <v/>
      </c>
      <c r="N167" s="20">
        <f>IF($A167="","",ROUND(G167*M167,2))</f>
        <v/>
      </c>
      <c r="O167" s="3">
        <f>IF($A167="","",IF(COUNTIFS(控制措施表!$B:$B,$A167,控制措施表!$C:$C,$F167,控制措施表!$F:$F,"是")=0,IF(COUNTIFS(控制措施表!$B:$B,$A167,控制措施表!$C:$C,$F167)=0,"",MINIFS(控制措施表!$E:$E,控制措施表!$B:$B,$A167,控制措施表!$C:$C,$F167)),MINIFS(控制措施表!$E:$E,控制措施表!$B:$B,$A167,控制措施表!$C:$C,$F167,控制措施表!$F:$F,"是")))</f>
        <v/>
      </c>
      <c r="P167" s="21">
        <f>IF($A167="","",IF(N167="",0,VLOOKUP(N167,参数配置!$D$4:$E$8,2,FALSE)))</f>
        <v/>
      </c>
      <c r="Q167" s="20">
        <f>IF($A167="","",ROUND(O167*(1-P167),2))</f>
        <v/>
      </c>
      <c r="R167" s="3">
        <f>IF($A167="","",IF(Q167&gt;=参数配置!$B$12,"极高",IF(Q167&gt;=参数配置!$B$13,"高",IF(Q167&gt;=参数配置!$B$14,"中",IF(Q167&gt;=参数配置!$B$15,"低","极低")))))</f>
        <v/>
      </c>
      <c r="S167" s="3">
        <f>IF($A167="","",ROUND(M167,0))</f>
        <v/>
      </c>
      <c r="T167" s="3">
        <f>IF($A167="","",ROUND(N167,0))</f>
        <v/>
      </c>
      <c r="U167" s="3">
        <f>IF($A167="","",IF(R167="极高","每年必审",IF(R167="高","每年审计",IF(R167="中","两年一轮","按需抽查"))))</f>
        <v/>
      </c>
      <c r="V167" s="21">
        <f>IF($A167="","",IF(N167=0,"",(N167-Q167)/N167))</f>
        <v/>
      </c>
    </row>
    <row r="168">
      <c r="M168" s="20">
        <f>IF($A168="","",ROUND(MAX(SUMPRODUCT(H168:L168,IFERROR(VLOOKUP($C168,参数配置!$A$26:$F$38,{2,3,4,5,6},FALSE),VLOOKUP(参数配置!$A$26,参数配置!$A$26:$F$38,{2,3,4,5,6},FALSE))),参数配置!$E$13*MAX(H168:L168)),2))</f>
        <v/>
      </c>
      <c r="N168" s="20">
        <f>IF($A168="","",ROUND(G168*M168,2))</f>
        <v/>
      </c>
      <c r="O168" s="3">
        <f>IF($A168="","",IF(COUNTIFS(控制措施表!$B:$B,$A168,控制措施表!$C:$C,$F168,控制措施表!$F:$F,"是")=0,IF(COUNTIFS(控制措施表!$B:$B,$A168,控制措施表!$C:$C,$F168)=0,"",MINIFS(控制措施表!$E:$E,控制措施表!$B:$B,$A168,控制措施表!$C:$C,$F168)),MINIFS(控制措施表!$E:$E,控制措施表!$B:$B,$A168,控制措施表!$C:$C,$F168,控制措施表!$F:$F,"是")))</f>
        <v/>
      </c>
      <c r="P168" s="21">
        <f>IF($A168="","",IF(N168="",0,VLOOKUP(N168,参数配置!$D$4:$E$8,2,FALSE)))</f>
        <v/>
      </c>
      <c r="Q168" s="20">
        <f>IF($A168="","",ROUND(O168*(1-P168),2))</f>
        <v/>
      </c>
      <c r="R168" s="3">
        <f>IF($A168="","",IF(Q168&gt;=参数配置!$B$12,"极高",IF(Q168&gt;=参数配置!$B$13,"高",IF(Q168&gt;=参数配置!$B$14,"中",IF(Q168&gt;=参数配置!$B$15,"低","极低")))))</f>
        <v/>
      </c>
      <c r="S168" s="3">
        <f>IF($A168="","",ROUND(M168,0))</f>
        <v/>
      </c>
      <c r="T168" s="3">
        <f>IF($A168="","",ROUND(N168,0))</f>
        <v/>
      </c>
      <c r="U168" s="3">
        <f>IF($A168="","",IF(R168="极高","每年必审",IF(R168="高","每年审计",IF(R168="中","两年一轮","按需抽查"))))</f>
        <v/>
      </c>
      <c r="V168" s="21">
        <f>IF($A168="","",IF(N168=0,"",(N168-Q168)/N168))</f>
        <v/>
      </c>
    </row>
    <row r="169">
      <c r="M169" s="20">
        <f>IF($A169="","",ROUND(MAX(SUMPRODUCT(H169:L169,IFERROR(VLOOKUP($C169,参数配置!$A$26:$F$38,{2,3,4,5,6},FALSE),VLOOKUP(参数配置!$A$26,参数配置!$A$26:$F$38,{2,3,4,5,6},FALSE))),参数配置!$E$13*MAX(H169:L169)),2))</f>
        <v/>
      </c>
      <c r="N169" s="20">
        <f>IF($A169="","",ROUND(G169*M169,2))</f>
        <v/>
      </c>
      <c r="O169" s="3">
        <f>IF($A169="","",IF(COUNTIFS(控制措施表!$B:$B,$A169,控制措施表!$C:$C,$F169,控制措施表!$F:$F,"是")=0,IF(COUNTIFS(控制措施表!$B:$B,$A169,控制措施表!$C:$C,$F169)=0,"",MINIFS(控制措施表!$E:$E,控制措施表!$B:$B,$A169,控制措施表!$C:$C,$F169)),MINIFS(控制措施表!$E:$E,控制措施表!$B:$B,$A169,控制措施表!$C:$C,$F169,控制措施表!$F:$F,"是")))</f>
        <v/>
      </c>
      <c r="P169" s="21">
        <f>IF($A169="","",IF(N169="",0,VLOOKUP(N169,参数配置!$D$4:$E$8,2,FALSE)))</f>
        <v/>
      </c>
      <c r="Q169" s="20">
        <f>IF($A169="","",ROUND(O169*(1-P169),2))</f>
        <v/>
      </c>
      <c r="R169" s="3">
        <f>IF($A169="","",IF(Q169&gt;=参数配置!$B$12,"极高",IF(Q169&gt;=参数配置!$B$13,"高",IF(Q169&gt;=参数配置!$B$14,"中",IF(Q169&gt;=参数配置!$B$15,"低","极低")))))</f>
        <v/>
      </c>
      <c r="S169" s="3">
        <f>IF($A169="","",ROUND(M169,0))</f>
        <v/>
      </c>
      <c r="T169" s="3">
        <f>IF($A169="","",ROUND(N169,0))</f>
        <v/>
      </c>
      <c r="U169" s="3">
        <f>IF($A169="","",IF(R169="极高","每年必审",IF(R169="高","每年审计",IF(R169="中","两年一轮","按需抽查"))))</f>
        <v/>
      </c>
      <c r="V169" s="21">
        <f>IF($A169="","",IF(N169=0,"",(N169-Q169)/N169))</f>
        <v/>
      </c>
    </row>
    <row r="170">
      <c r="M170" s="20">
        <f>IF($A170="","",ROUND(MAX(SUMPRODUCT(H170:L170,IFERROR(VLOOKUP($C170,参数配置!$A$26:$F$38,{2,3,4,5,6},FALSE),VLOOKUP(参数配置!$A$26,参数配置!$A$26:$F$38,{2,3,4,5,6},FALSE))),参数配置!$E$13*MAX(H170:L170)),2))</f>
        <v/>
      </c>
      <c r="N170" s="20">
        <f>IF($A170="","",ROUND(G170*M170,2))</f>
        <v/>
      </c>
      <c r="O170" s="3">
        <f>IF($A170="","",IF(COUNTIFS(控制措施表!$B:$B,$A170,控制措施表!$C:$C,$F170,控制措施表!$F:$F,"是")=0,IF(COUNTIFS(控制措施表!$B:$B,$A170,控制措施表!$C:$C,$F170)=0,"",MINIFS(控制措施表!$E:$E,控制措施表!$B:$B,$A170,控制措施表!$C:$C,$F170)),MINIFS(控制措施表!$E:$E,控制措施表!$B:$B,$A170,控制措施表!$C:$C,$F170,控制措施表!$F:$F,"是")))</f>
        <v/>
      </c>
      <c r="P170" s="21">
        <f>IF($A170="","",IF(N170="",0,VLOOKUP(N170,参数配置!$D$4:$E$8,2,FALSE)))</f>
        <v/>
      </c>
      <c r="Q170" s="20">
        <f>IF($A170="","",ROUND(O170*(1-P170),2))</f>
        <v/>
      </c>
      <c r="R170" s="3">
        <f>IF($A170="","",IF(Q170&gt;=参数配置!$B$12,"极高",IF(Q170&gt;=参数配置!$B$13,"高",IF(Q170&gt;=参数配置!$B$14,"中",IF(Q170&gt;=参数配置!$B$15,"低","极低")))))</f>
        <v/>
      </c>
      <c r="S170" s="3">
        <f>IF($A170="","",ROUND(M170,0))</f>
        <v/>
      </c>
      <c r="T170" s="3">
        <f>IF($A170="","",ROUND(N170,0))</f>
        <v/>
      </c>
      <c r="U170" s="3">
        <f>IF($A170="","",IF(R170="极高","每年必审",IF(R170="高","每年审计",IF(R170="中","两年一轮","按需抽查"))))</f>
        <v/>
      </c>
      <c r="V170" s="21">
        <f>IF($A170="","",IF(N170=0,"",(N170-Q170)/N170))</f>
        <v/>
      </c>
    </row>
    <row r="171">
      <c r="M171" s="20">
        <f>IF($A171="","",ROUND(MAX(SUMPRODUCT(H171:L171,IFERROR(VLOOKUP($C171,参数配置!$A$26:$F$38,{2,3,4,5,6},FALSE),VLOOKUP(参数配置!$A$26,参数配置!$A$26:$F$38,{2,3,4,5,6},FALSE))),参数配置!$E$13*MAX(H171:L171)),2))</f>
        <v/>
      </c>
      <c r="N171" s="20">
        <f>IF($A171="","",ROUND(G171*M171,2))</f>
        <v/>
      </c>
      <c r="O171" s="3">
        <f>IF($A171="","",IF(COUNTIFS(控制措施表!$B:$B,$A171,控制措施表!$C:$C,$F171,控制措施表!$F:$F,"是")=0,IF(COUNTIFS(控制措施表!$B:$B,$A171,控制措施表!$C:$C,$F171)=0,"",MINIFS(控制措施表!$E:$E,控制措施表!$B:$B,$A171,控制措施表!$C:$C,$F171)),MINIFS(控制措施表!$E:$E,控制措施表!$B:$B,$A171,控制措施表!$C:$C,$F171,控制措施表!$F:$F,"是")))</f>
        <v/>
      </c>
      <c r="P171" s="21">
        <f>IF($A171="","",IF(N171="",0,VLOOKUP(N171,参数配置!$D$4:$E$8,2,FALSE)))</f>
        <v/>
      </c>
      <c r="Q171" s="20">
        <f>IF($A171="","",ROUND(O171*(1-P171),2))</f>
        <v/>
      </c>
      <c r="R171" s="3">
        <f>IF($A171="","",IF(Q171&gt;=参数配置!$B$12,"极高",IF(Q171&gt;=参数配置!$B$13,"高",IF(Q171&gt;=参数配置!$B$14,"中",IF(Q171&gt;=参数配置!$B$15,"低","极低")))))</f>
        <v/>
      </c>
      <c r="S171" s="3">
        <f>IF($A171="","",ROUND(M171,0))</f>
        <v/>
      </c>
      <c r="T171" s="3">
        <f>IF($A171="","",ROUND(N171,0))</f>
        <v/>
      </c>
      <c r="U171" s="3">
        <f>IF($A171="","",IF(R171="极高","每年必审",IF(R171="高","每年审计",IF(R171="中","两年一轮","按需抽查"))))</f>
        <v/>
      </c>
      <c r="V171" s="21">
        <f>IF($A171="","",IF(N171=0,"",(N171-Q171)/N171))</f>
        <v/>
      </c>
    </row>
    <row r="172">
      <c r="M172" s="20">
        <f>IF($A172="","",ROUND(MAX(SUMPRODUCT(H172:L172,IFERROR(VLOOKUP($C172,参数配置!$A$26:$F$38,{2,3,4,5,6},FALSE),VLOOKUP(参数配置!$A$26,参数配置!$A$26:$F$38,{2,3,4,5,6},FALSE))),参数配置!$E$13*MAX(H172:L172)),2))</f>
        <v/>
      </c>
      <c r="N172" s="20">
        <f>IF($A172="","",ROUND(G172*M172,2))</f>
        <v/>
      </c>
      <c r="O172" s="3">
        <f>IF($A172="","",IF(COUNTIFS(控制措施表!$B:$B,$A172,控制措施表!$C:$C,$F172,控制措施表!$F:$F,"是")=0,IF(COUNTIFS(控制措施表!$B:$B,$A172,控制措施表!$C:$C,$F172)=0,"",MINIFS(控制措施表!$E:$E,控制措施表!$B:$B,$A172,控制措施表!$C:$C,$F172)),MINIFS(控制措施表!$E:$E,控制措施表!$B:$B,$A172,控制措施表!$C:$C,$F172,控制措施表!$F:$F,"是")))</f>
        <v/>
      </c>
      <c r="P172" s="21">
        <f>IF($A172="","",IF(N172="",0,VLOOKUP(N172,参数配置!$D$4:$E$8,2,FALSE)))</f>
        <v/>
      </c>
      <c r="Q172" s="20">
        <f>IF($A172="","",ROUND(O172*(1-P172),2))</f>
        <v/>
      </c>
      <c r="R172" s="3">
        <f>IF($A172="","",IF(Q172&gt;=参数配置!$B$12,"极高",IF(Q172&gt;=参数配置!$B$13,"高",IF(Q172&gt;=参数配置!$B$14,"中",IF(Q172&gt;=参数配置!$B$15,"低","极低")))))</f>
        <v/>
      </c>
      <c r="S172" s="3">
        <f>IF($A172="","",ROUND(M172,0))</f>
        <v/>
      </c>
      <c r="T172" s="3">
        <f>IF($A172="","",ROUND(N172,0))</f>
        <v/>
      </c>
      <c r="U172" s="3">
        <f>IF($A172="","",IF(R172="极高","每年必审",IF(R172="高","每年审计",IF(R172="中","两年一轮","按需抽查"))))</f>
        <v/>
      </c>
      <c r="V172" s="21">
        <f>IF($A172="","",IF(N172=0,"",(N172-Q172)/N172))</f>
        <v/>
      </c>
    </row>
    <row r="173">
      <c r="M173" s="20">
        <f>IF($A173="","",ROUND(MAX(SUMPRODUCT(H173:L173,IFERROR(VLOOKUP($C173,参数配置!$A$26:$F$38,{2,3,4,5,6},FALSE),VLOOKUP(参数配置!$A$26,参数配置!$A$26:$F$38,{2,3,4,5,6},FALSE))),参数配置!$E$13*MAX(H173:L173)),2))</f>
        <v/>
      </c>
      <c r="N173" s="20">
        <f>IF($A173="","",ROUND(G173*M173,2))</f>
        <v/>
      </c>
      <c r="O173" s="3">
        <f>IF($A173="","",IF(COUNTIFS(控制措施表!$B:$B,$A173,控制措施表!$C:$C,$F173,控制措施表!$F:$F,"是")=0,IF(COUNTIFS(控制措施表!$B:$B,$A173,控制措施表!$C:$C,$F173)=0,"",MINIFS(控制措施表!$E:$E,控制措施表!$B:$B,$A173,控制措施表!$C:$C,$F173)),MINIFS(控制措施表!$E:$E,控制措施表!$B:$B,$A173,控制措施表!$C:$C,$F173,控制措施表!$F:$F,"是")))</f>
        <v/>
      </c>
      <c r="P173" s="21">
        <f>IF($A173="","",IF(N173="",0,VLOOKUP(N173,参数配置!$D$4:$E$8,2,FALSE)))</f>
        <v/>
      </c>
      <c r="Q173" s="20">
        <f>IF($A173="","",ROUND(O173*(1-P173),2))</f>
        <v/>
      </c>
      <c r="R173" s="3">
        <f>IF($A173="","",IF(Q173&gt;=参数配置!$B$12,"极高",IF(Q173&gt;=参数配置!$B$13,"高",IF(Q173&gt;=参数配置!$B$14,"中",IF(Q173&gt;=参数配置!$B$15,"低","极低")))))</f>
        <v/>
      </c>
      <c r="S173" s="3">
        <f>IF($A173="","",ROUND(M173,0))</f>
        <v/>
      </c>
      <c r="T173" s="3">
        <f>IF($A173="","",ROUND(N173,0))</f>
        <v/>
      </c>
      <c r="U173" s="3">
        <f>IF($A173="","",IF(R173="极高","每年必审",IF(R173="高","每年审计",IF(R173="中","两年一轮","按需抽查"))))</f>
        <v/>
      </c>
      <c r="V173" s="21">
        <f>IF($A173="","",IF(N173=0,"",(N173-Q173)/N173))</f>
        <v/>
      </c>
    </row>
    <row r="174">
      <c r="M174" s="20">
        <f>IF($A174="","",ROUND(MAX(SUMPRODUCT(H174:L174,IFERROR(VLOOKUP($C174,参数配置!$A$26:$F$38,{2,3,4,5,6},FALSE),VLOOKUP(参数配置!$A$26,参数配置!$A$26:$F$38,{2,3,4,5,6},FALSE))),参数配置!$E$13*MAX(H174:L174)),2))</f>
        <v/>
      </c>
      <c r="N174" s="20">
        <f>IF($A174="","",ROUND(G174*M174,2))</f>
        <v/>
      </c>
      <c r="O174" s="3">
        <f>IF($A174="","",IF(COUNTIFS(控制措施表!$B:$B,$A174,控制措施表!$C:$C,$F174,控制措施表!$F:$F,"是")=0,IF(COUNTIFS(控制措施表!$B:$B,$A174,控制措施表!$C:$C,$F174)=0,"",MINIFS(控制措施表!$E:$E,控制措施表!$B:$B,$A174,控制措施表!$C:$C,$F174)),MINIFS(控制措施表!$E:$E,控制措施表!$B:$B,$A174,控制措施表!$C:$C,$F174,控制措施表!$F:$F,"是")))</f>
        <v/>
      </c>
      <c r="P174" s="21">
        <f>IF($A174="","",IF(N174="",0,VLOOKUP(N174,参数配置!$D$4:$E$8,2,FALSE)))</f>
        <v/>
      </c>
      <c r="Q174" s="20">
        <f>IF($A174="","",ROUND(O174*(1-P174),2))</f>
        <v/>
      </c>
      <c r="R174" s="3">
        <f>IF($A174="","",IF(Q174&gt;=参数配置!$B$12,"极高",IF(Q174&gt;=参数配置!$B$13,"高",IF(Q174&gt;=参数配置!$B$14,"中",IF(Q174&gt;=参数配置!$B$15,"低","极低")))))</f>
        <v/>
      </c>
      <c r="S174" s="3">
        <f>IF($A174="","",ROUND(M174,0))</f>
        <v/>
      </c>
      <c r="T174" s="3">
        <f>IF($A174="","",ROUND(N174,0))</f>
        <v/>
      </c>
      <c r="U174" s="3">
        <f>IF($A174="","",IF(R174="极高","每年必审",IF(R174="高","每年审计",IF(R174="中","两年一轮","按需抽查"))))</f>
        <v/>
      </c>
      <c r="V174" s="21">
        <f>IF($A174="","",IF(N174=0,"",(N174-Q174)/N174))</f>
        <v/>
      </c>
    </row>
    <row r="175">
      <c r="M175" s="20">
        <f>IF($A175="","",ROUND(MAX(SUMPRODUCT(H175:L175,IFERROR(VLOOKUP($C175,参数配置!$A$26:$F$38,{2,3,4,5,6},FALSE),VLOOKUP(参数配置!$A$26,参数配置!$A$26:$F$38,{2,3,4,5,6},FALSE))),参数配置!$E$13*MAX(H175:L175)),2))</f>
        <v/>
      </c>
      <c r="N175" s="20">
        <f>IF($A175="","",ROUND(G175*M175,2))</f>
        <v/>
      </c>
      <c r="O175" s="3">
        <f>IF($A175="","",IF(COUNTIFS(控制措施表!$B:$B,$A175,控制措施表!$C:$C,$F175,控制措施表!$F:$F,"是")=0,IF(COUNTIFS(控制措施表!$B:$B,$A175,控制措施表!$C:$C,$F175)=0,"",MINIFS(控制措施表!$E:$E,控制措施表!$B:$B,$A175,控制措施表!$C:$C,$F175)),MINIFS(控制措施表!$E:$E,控制措施表!$B:$B,$A175,控制措施表!$C:$C,$F175,控制措施表!$F:$F,"是")))</f>
        <v/>
      </c>
      <c r="P175" s="21">
        <f>IF($A175="","",IF(N175="",0,VLOOKUP(N175,参数配置!$D$4:$E$8,2,FALSE)))</f>
        <v/>
      </c>
      <c r="Q175" s="20">
        <f>IF($A175="","",ROUND(O175*(1-P175),2))</f>
        <v/>
      </c>
      <c r="R175" s="3">
        <f>IF($A175="","",IF(Q175&gt;=参数配置!$B$12,"极高",IF(Q175&gt;=参数配置!$B$13,"高",IF(Q175&gt;=参数配置!$B$14,"中",IF(Q175&gt;=参数配置!$B$15,"低","极低")))))</f>
        <v/>
      </c>
      <c r="S175" s="3">
        <f>IF($A175="","",ROUND(M175,0))</f>
        <v/>
      </c>
      <c r="T175" s="3">
        <f>IF($A175="","",ROUND(N175,0))</f>
        <v/>
      </c>
      <c r="U175" s="3">
        <f>IF($A175="","",IF(R175="极高","每年必审",IF(R175="高","每年审计",IF(R175="中","两年一轮","按需抽查"))))</f>
        <v/>
      </c>
      <c r="V175" s="21">
        <f>IF($A175="","",IF(N175=0,"",(N175-Q175)/N175))</f>
        <v/>
      </c>
    </row>
    <row r="176">
      <c r="M176" s="20">
        <f>IF($A176="","",ROUND(MAX(SUMPRODUCT(H176:L176,IFERROR(VLOOKUP($C176,参数配置!$A$26:$F$38,{2,3,4,5,6},FALSE),VLOOKUP(参数配置!$A$26,参数配置!$A$26:$F$38,{2,3,4,5,6},FALSE))),参数配置!$E$13*MAX(H176:L176)),2))</f>
        <v/>
      </c>
      <c r="N176" s="20">
        <f>IF($A176="","",ROUND(G176*M176,2))</f>
        <v/>
      </c>
      <c r="O176" s="3">
        <f>IF($A176="","",IF(COUNTIFS(控制措施表!$B:$B,$A176,控制措施表!$C:$C,$F176,控制措施表!$F:$F,"是")=0,IF(COUNTIFS(控制措施表!$B:$B,$A176,控制措施表!$C:$C,$F176)=0,"",MINIFS(控制措施表!$E:$E,控制措施表!$B:$B,$A176,控制措施表!$C:$C,$F176)),MINIFS(控制措施表!$E:$E,控制措施表!$B:$B,$A176,控制措施表!$C:$C,$F176,控制措施表!$F:$F,"是")))</f>
        <v/>
      </c>
      <c r="P176" s="21">
        <f>IF($A176="","",IF(N176="",0,VLOOKUP(N176,参数配置!$D$4:$E$8,2,FALSE)))</f>
        <v/>
      </c>
      <c r="Q176" s="20">
        <f>IF($A176="","",ROUND(O176*(1-P176),2))</f>
        <v/>
      </c>
      <c r="R176" s="3">
        <f>IF($A176="","",IF(Q176&gt;=参数配置!$B$12,"极高",IF(Q176&gt;=参数配置!$B$13,"高",IF(Q176&gt;=参数配置!$B$14,"中",IF(Q176&gt;=参数配置!$B$15,"低","极低")))))</f>
        <v/>
      </c>
      <c r="S176" s="3">
        <f>IF($A176="","",ROUND(M176,0))</f>
        <v/>
      </c>
      <c r="T176" s="3">
        <f>IF($A176="","",ROUND(N176,0))</f>
        <v/>
      </c>
      <c r="U176" s="3">
        <f>IF($A176="","",IF(R176="极高","每年必审",IF(R176="高","每年审计",IF(R176="中","两年一轮","按需抽查"))))</f>
        <v/>
      </c>
      <c r="V176" s="21">
        <f>IF($A176="","",IF(N176=0,"",(N176-Q176)/N176))</f>
        <v/>
      </c>
    </row>
    <row r="177">
      <c r="M177" s="20">
        <f>IF($A177="","",ROUND(MAX(SUMPRODUCT(H177:L177,IFERROR(VLOOKUP($C177,参数配置!$A$26:$F$38,{2,3,4,5,6},FALSE),VLOOKUP(参数配置!$A$26,参数配置!$A$26:$F$38,{2,3,4,5,6},FALSE))),参数配置!$E$13*MAX(H177:L177)),2))</f>
        <v/>
      </c>
      <c r="N177" s="20">
        <f>IF($A177="","",ROUND(G177*M177,2))</f>
        <v/>
      </c>
      <c r="O177" s="3">
        <f>IF($A177="","",IF(COUNTIFS(控制措施表!$B:$B,$A177,控制措施表!$C:$C,$F177,控制措施表!$F:$F,"是")=0,IF(COUNTIFS(控制措施表!$B:$B,$A177,控制措施表!$C:$C,$F177)=0,"",MINIFS(控制措施表!$E:$E,控制措施表!$B:$B,$A177,控制措施表!$C:$C,$F177)),MINIFS(控制措施表!$E:$E,控制措施表!$B:$B,$A177,控制措施表!$C:$C,$F177,控制措施表!$F:$F,"是")))</f>
        <v/>
      </c>
      <c r="P177" s="21">
        <f>IF($A177="","",IF(N177="",0,VLOOKUP(N177,参数配置!$D$4:$E$8,2,FALSE)))</f>
        <v/>
      </c>
      <c r="Q177" s="20">
        <f>IF($A177="","",ROUND(O177*(1-P177),2))</f>
        <v/>
      </c>
      <c r="R177" s="3">
        <f>IF($A177="","",IF(Q177&gt;=参数配置!$B$12,"极高",IF(Q177&gt;=参数配置!$B$13,"高",IF(Q177&gt;=参数配置!$B$14,"中",IF(Q177&gt;=参数配置!$B$15,"低","极低")))))</f>
        <v/>
      </c>
      <c r="S177" s="3">
        <f>IF($A177="","",ROUND(M177,0))</f>
        <v/>
      </c>
      <c r="T177" s="3">
        <f>IF($A177="","",ROUND(N177,0))</f>
        <v/>
      </c>
      <c r="U177" s="3">
        <f>IF($A177="","",IF(R177="极高","每年必审",IF(R177="高","每年审计",IF(R177="中","两年一轮","按需抽查"))))</f>
        <v/>
      </c>
      <c r="V177" s="21">
        <f>IF($A177="","",IF(N177=0,"",(N177-Q177)/N177))</f>
        <v/>
      </c>
    </row>
    <row r="178">
      <c r="M178" s="20">
        <f>IF($A178="","",ROUND(MAX(SUMPRODUCT(H178:L178,IFERROR(VLOOKUP($C178,参数配置!$A$26:$F$38,{2,3,4,5,6},FALSE),VLOOKUP(参数配置!$A$26,参数配置!$A$26:$F$38,{2,3,4,5,6},FALSE))),参数配置!$E$13*MAX(H178:L178)),2))</f>
        <v/>
      </c>
      <c r="N178" s="20">
        <f>IF($A178="","",ROUND(G178*M178,2))</f>
        <v/>
      </c>
      <c r="O178" s="3">
        <f>IF($A178="","",IF(COUNTIFS(控制措施表!$B:$B,$A178,控制措施表!$C:$C,$F178,控制措施表!$F:$F,"是")=0,IF(COUNTIFS(控制措施表!$B:$B,$A178,控制措施表!$C:$C,$F178)=0,"",MINIFS(控制措施表!$E:$E,控制措施表!$B:$B,$A178,控制措施表!$C:$C,$F178)),MINIFS(控制措施表!$E:$E,控制措施表!$B:$B,$A178,控制措施表!$C:$C,$F178,控制措施表!$F:$F,"是")))</f>
        <v/>
      </c>
      <c r="P178" s="21">
        <f>IF($A178="","",IF(N178="",0,VLOOKUP(N178,参数配置!$D$4:$E$8,2,FALSE)))</f>
        <v/>
      </c>
      <c r="Q178" s="20">
        <f>IF($A178="","",ROUND(O178*(1-P178),2))</f>
        <v/>
      </c>
      <c r="R178" s="3">
        <f>IF($A178="","",IF(Q178&gt;=参数配置!$B$12,"极高",IF(Q178&gt;=参数配置!$B$13,"高",IF(Q178&gt;=参数配置!$B$14,"中",IF(Q178&gt;=参数配置!$B$15,"低","极低")))))</f>
        <v/>
      </c>
      <c r="S178" s="3">
        <f>IF($A178="","",ROUND(M178,0))</f>
        <v/>
      </c>
      <c r="T178" s="3">
        <f>IF($A178="","",ROUND(N178,0))</f>
        <v/>
      </c>
      <c r="U178" s="3">
        <f>IF($A178="","",IF(R178="极高","每年必审",IF(R178="高","每年审计",IF(R178="中","两年一轮","按需抽查"))))</f>
        <v/>
      </c>
      <c r="V178" s="21">
        <f>IF($A178="","",IF(N178=0,"",(N178-Q178)/N178))</f>
        <v/>
      </c>
    </row>
    <row r="179">
      <c r="M179" s="20">
        <f>IF($A179="","",ROUND(MAX(SUMPRODUCT(H179:L179,IFERROR(VLOOKUP($C179,参数配置!$A$26:$F$38,{2,3,4,5,6},FALSE),VLOOKUP(参数配置!$A$26,参数配置!$A$26:$F$38,{2,3,4,5,6},FALSE))),参数配置!$E$13*MAX(H179:L179)),2))</f>
        <v/>
      </c>
      <c r="N179" s="20">
        <f>IF($A179="","",ROUND(G179*M179,2))</f>
        <v/>
      </c>
      <c r="O179" s="3">
        <f>IF($A179="","",IF(COUNTIFS(控制措施表!$B:$B,$A179,控制措施表!$C:$C,$F179,控制措施表!$F:$F,"是")=0,IF(COUNTIFS(控制措施表!$B:$B,$A179,控制措施表!$C:$C,$F179)=0,"",MINIFS(控制措施表!$E:$E,控制措施表!$B:$B,$A179,控制措施表!$C:$C,$F179)),MINIFS(控制措施表!$E:$E,控制措施表!$B:$B,$A179,控制措施表!$C:$C,$F179,控制措施表!$F:$F,"是")))</f>
        <v/>
      </c>
      <c r="P179" s="21">
        <f>IF($A179="","",IF(N179="",0,VLOOKUP(N179,参数配置!$D$4:$E$8,2,FALSE)))</f>
        <v/>
      </c>
      <c r="Q179" s="20">
        <f>IF($A179="","",ROUND(O179*(1-P179),2))</f>
        <v/>
      </c>
      <c r="R179" s="3">
        <f>IF($A179="","",IF(Q179&gt;=参数配置!$B$12,"极高",IF(Q179&gt;=参数配置!$B$13,"高",IF(Q179&gt;=参数配置!$B$14,"中",IF(Q179&gt;=参数配置!$B$15,"低","极低")))))</f>
        <v/>
      </c>
      <c r="S179" s="3">
        <f>IF($A179="","",ROUND(M179,0))</f>
        <v/>
      </c>
      <c r="T179" s="3">
        <f>IF($A179="","",ROUND(N179,0))</f>
        <v/>
      </c>
      <c r="U179" s="3">
        <f>IF($A179="","",IF(R179="极高","每年必审",IF(R179="高","每年审计",IF(R179="中","两年一轮","按需抽查"))))</f>
        <v/>
      </c>
      <c r="V179" s="21">
        <f>IF($A179="","",IF(N179=0,"",(N179-Q179)/N179))</f>
        <v/>
      </c>
    </row>
    <row r="180">
      <c r="M180" s="20">
        <f>IF($A180="","",ROUND(MAX(SUMPRODUCT(H180:L180,IFERROR(VLOOKUP($C180,参数配置!$A$26:$F$38,{2,3,4,5,6},FALSE),VLOOKUP(参数配置!$A$26,参数配置!$A$26:$F$38,{2,3,4,5,6},FALSE))),参数配置!$E$13*MAX(H180:L180)),2))</f>
        <v/>
      </c>
      <c r="N180" s="20">
        <f>IF($A180="","",ROUND(G180*M180,2))</f>
        <v/>
      </c>
      <c r="O180" s="3">
        <f>IF($A180="","",IF(COUNTIFS(控制措施表!$B:$B,$A180,控制措施表!$C:$C,$F180,控制措施表!$F:$F,"是")=0,IF(COUNTIFS(控制措施表!$B:$B,$A180,控制措施表!$C:$C,$F180)=0,"",MINIFS(控制措施表!$E:$E,控制措施表!$B:$B,$A180,控制措施表!$C:$C,$F180)),MINIFS(控制措施表!$E:$E,控制措施表!$B:$B,$A180,控制措施表!$C:$C,$F180,控制措施表!$F:$F,"是")))</f>
        <v/>
      </c>
      <c r="P180" s="21">
        <f>IF($A180="","",IF(N180="",0,VLOOKUP(N180,参数配置!$D$4:$E$8,2,FALSE)))</f>
        <v/>
      </c>
      <c r="Q180" s="20">
        <f>IF($A180="","",ROUND(O180*(1-P180),2))</f>
        <v/>
      </c>
      <c r="R180" s="3">
        <f>IF($A180="","",IF(Q180&gt;=参数配置!$B$12,"极高",IF(Q180&gt;=参数配置!$B$13,"高",IF(Q180&gt;=参数配置!$B$14,"中",IF(Q180&gt;=参数配置!$B$15,"低","极低")))))</f>
        <v/>
      </c>
      <c r="S180" s="3">
        <f>IF($A180="","",ROUND(M180,0))</f>
        <v/>
      </c>
      <c r="T180" s="3">
        <f>IF($A180="","",ROUND(N180,0))</f>
        <v/>
      </c>
      <c r="U180" s="3">
        <f>IF($A180="","",IF(R180="极高","每年必审",IF(R180="高","每年审计",IF(R180="中","两年一轮","按需抽查"))))</f>
        <v/>
      </c>
      <c r="V180" s="21">
        <f>IF($A180="","",IF(N180=0,"",(N180-Q180)/N180))</f>
        <v/>
      </c>
    </row>
    <row r="181">
      <c r="M181" s="20">
        <f>IF($A181="","",ROUND(MAX(SUMPRODUCT(H181:L181,IFERROR(VLOOKUP($C181,参数配置!$A$26:$F$38,{2,3,4,5,6},FALSE),VLOOKUP(参数配置!$A$26,参数配置!$A$26:$F$38,{2,3,4,5,6},FALSE))),参数配置!$E$13*MAX(H181:L181)),2))</f>
        <v/>
      </c>
      <c r="N181" s="20">
        <f>IF($A181="","",ROUND(G181*M181,2))</f>
        <v/>
      </c>
      <c r="O181" s="3">
        <f>IF($A181="","",IF(COUNTIFS(控制措施表!$B:$B,$A181,控制措施表!$C:$C,$F181,控制措施表!$F:$F,"是")=0,IF(COUNTIFS(控制措施表!$B:$B,$A181,控制措施表!$C:$C,$F181)=0,"",MINIFS(控制措施表!$E:$E,控制措施表!$B:$B,$A181,控制措施表!$C:$C,$F181)),MINIFS(控制措施表!$E:$E,控制措施表!$B:$B,$A181,控制措施表!$C:$C,$F181,控制措施表!$F:$F,"是")))</f>
        <v/>
      </c>
      <c r="P181" s="21">
        <f>IF($A181="","",IF(N181="",0,VLOOKUP(N181,参数配置!$D$4:$E$8,2,FALSE)))</f>
        <v/>
      </c>
      <c r="Q181" s="20">
        <f>IF($A181="","",ROUND(O181*(1-P181),2))</f>
        <v/>
      </c>
      <c r="R181" s="3">
        <f>IF($A181="","",IF(Q181&gt;=参数配置!$B$12,"极高",IF(Q181&gt;=参数配置!$B$13,"高",IF(Q181&gt;=参数配置!$B$14,"中",IF(Q181&gt;=参数配置!$B$15,"低","极低")))))</f>
        <v/>
      </c>
      <c r="S181" s="3">
        <f>IF($A181="","",ROUND(M181,0))</f>
        <v/>
      </c>
      <c r="T181" s="3">
        <f>IF($A181="","",ROUND(N181,0))</f>
        <v/>
      </c>
      <c r="U181" s="3">
        <f>IF($A181="","",IF(R181="极高","每年必审",IF(R181="高","每年审计",IF(R181="中","两年一轮","按需抽查"))))</f>
        <v/>
      </c>
      <c r="V181" s="21">
        <f>IF($A181="","",IF(N181=0,"",(N181-Q181)/N181))</f>
        <v/>
      </c>
    </row>
    <row r="182">
      <c r="M182" s="20">
        <f>IF($A182="","",ROUND(MAX(SUMPRODUCT(H182:L182,IFERROR(VLOOKUP($C182,参数配置!$A$26:$F$38,{2,3,4,5,6},FALSE),VLOOKUP(参数配置!$A$26,参数配置!$A$26:$F$38,{2,3,4,5,6},FALSE))),参数配置!$E$13*MAX(H182:L182)),2))</f>
        <v/>
      </c>
      <c r="N182" s="20">
        <f>IF($A182="","",ROUND(G182*M182,2))</f>
        <v/>
      </c>
      <c r="O182" s="3">
        <f>IF($A182="","",IF(COUNTIFS(控制措施表!$B:$B,$A182,控制措施表!$C:$C,$F182,控制措施表!$F:$F,"是")=0,IF(COUNTIFS(控制措施表!$B:$B,$A182,控制措施表!$C:$C,$F182)=0,"",MINIFS(控制措施表!$E:$E,控制措施表!$B:$B,$A182,控制措施表!$C:$C,$F182)),MINIFS(控制措施表!$E:$E,控制措施表!$B:$B,$A182,控制措施表!$C:$C,$F182,控制措施表!$F:$F,"是")))</f>
        <v/>
      </c>
      <c r="P182" s="21">
        <f>IF($A182="","",IF(N182="",0,VLOOKUP(N182,参数配置!$D$4:$E$8,2,FALSE)))</f>
        <v/>
      </c>
      <c r="Q182" s="20">
        <f>IF($A182="","",ROUND(O182*(1-P182),2))</f>
        <v/>
      </c>
      <c r="R182" s="3">
        <f>IF($A182="","",IF(Q182&gt;=参数配置!$B$12,"极高",IF(Q182&gt;=参数配置!$B$13,"高",IF(Q182&gt;=参数配置!$B$14,"中",IF(Q182&gt;=参数配置!$B$15,"低","极低")))))</f>
        <v/>
      </c>
      <c r="S182" s="3">
        <f>IF($A182="","",ROUND(M182,0))</f>
        <v/>
      </c>
      <c r="T182" s="3">
        <f>IF($A182="","",ROUND(N182,0))</f>
        <v/>
      </c>
      <c r="U182" s="3">
        <f>IF($A182="","",IF(R182="极高","每年必审",IF(R182="高","每年审计",IF(R182="中","两年一轮","按需抽查"))))</f>
        <v/>
      </c>
      <c r="V182" s="21">
        <f>IF($A182="","",IF(N182=0,"",(N182-Q182)/N182))</f>
        <v/>
      </c>
    </row>
    <row r="183">
      <c r="M183" s="20">
        <f>IF($A183="","",ROUND(MAX(SUMPRODUCT(H183:L183,IFERROR(VLOOKUP($C183,参数配置!$A$26:$F$38,{2,3,4,5,6},FALSE),VLOOKUP(参数配置!$A$26,参数配置!$A$26:$F$38,{2,3,4,5,6},FALSE))),参数配置!$E$13*MAX(H183:L183)),2))</f>
        <v/>
      </c>
      <c r="N183" s="20">
        <f>IF($A183="","",ROUND(G183*M183,2))</f>
        <v/>
      </c>
      <c r="O183" s="3">
        <f>IF($A183="","",IF(COUNTIFS(控制措施表!$B:$B,$A183,控制措施表!$C:$C,$F183,控制措施表!$F:$F,"是")=0,IF(COUNTIFS(控制措施表!$B:$B,$A183,控制措施表!$C:$C,$F183)=0,"",MINIFS(控制措施表!$E:$E,控制措施表!$B:$B,$A183,控制措施表!$C:$C,$F183)),MINIFS(控制措施表!$E:$E,控制措施表!$B:$B,$A183,控制措施表!$C:$C,$F183,控制措施表!$F:$F,"是")))</f>
        <v/>
      </c>
      <c r="P183" s="21">
        <f>IF($A183="","",IF(N183="",0,VLOOKUP(N183,参数配置!$D$4:$E$8,2,FALSE)))</f>
        <v/>
      </c>
      <c r="Q183" s="20">
        <f>IF($A183="","",ROUND(O183*(1-P183),2))</f>
        <v/>
      </c>
      <c r="R183" s="3">
        <f>IF($A183="","",IF(Q183&gt;=参数配置!$B$12,"极高",IF(Q183&gt;=参数配置!$B$13,"高",IF(Q183&gt;=参数配置!$B$14,"中",IF(Q183&gt;=参数配置!$B$15,"低","极低")))))</f>
        <v/>
      </c>
      <c r="S183" s="3">
        <f>IF($A183="","",ROUND(M183,0))</f>
        <v/>
      </c>
      <c r="T183" s="3">
        <f>IF($A183="","",ROUND(N183,0))</f>
        <v/>
      </c>
      <c r="U183" s="3">
        <f>IF($A183="","",IF(R183="极高","每年必审",IF(R183="高","每年审计",IF(R183="中","两年一轮","按需抽查"))))</f>
        <v/>
      </c>
      <c r="V183" s="21">
        <f>IF($A183="","",IF(N183=0,"",(N183-Q183)/N183))</f>
        <v/>
      </c>
    </row>
    <row r="184">
      <c r="M184" s="20">
        <f>IF($A184="","",ROUND(MAX(SUMPRODUCT(H184:L184,IFERROR(VLOOKUP($C184,参数配置!$A$26:$F$38,{2,3,4,5,6},FALSE),VLOOKUP(参数配置!$A$26,参数配置!$A$26:$F$38,{2,3,4,5,6},FALSE))),参数配置!$E$13*MAX(H184:L184)),2))</f>
        <v/>
      </c>
      <c r="N184" s="20">
        <f>IF($A184="","",ROUND(G184*M184,2))</f>
        <v/>
      </c>
      <c r="O184" s="3">
        <f>IF($A184="","",IF(COUNTIFS(控制措施表!$B:$B,$A184,控制措施表!$C:$C,$F184,控制措施表!$F:$F,"是")=0,IF(COUNTIFS(控制措施表!$B:$B,$A184,控制措施表!$C:$C,$F184)=0,"",MINIFS(控制措施表!$E:$E,控制措施表!$B:$B,$A184,控制措施表!$C:$C,$F184)),MINIFS(控制措施表!$E:$E,控制措施表!$B:$B,$A184,控制措施表!$C:$C,$F184,控制措施表!$F:$F,"是")))</f>
        <v/>
      </c>
      <c r="P184" s="21">
        <f>IF($A184="","",IF(N184="",0,VLOOKUP(N184,参数配置!$D$4:$E$8,2,FALSE)))</f>
        <v/>
      </c>
      <c r="Q184" s="20">
        <f>IF($A184="","",ROUND(O184*(1-P184),2))</f>
        <v/>
      </c>
      <c r="R184" s="3">
        <f>IF($A184="","",IF(Q184&gt;=参数配置!$B$12,"极高",IF(Q184&gt;=参数配置!$B$13,"高",IF(Q184&gt;=参数配置!$B$14,"中",IF(Q184&gt;=参数配置!$B$15,"低","极低")))))</f>
        <v/>
      </c>
      <c r="S184" s="3">
        <f>IF($A184="","",ROUND(M184,0))</f>
        <v/>
      </c>
      <c r="T184" s="3">
        <f>IF($A184="","",ROUND(N184,0))</f>
        <v/>
      </c>
      <c r="U184" s="3">
        <f>IF($A184="","",IF(R184="极高","每年必审",IF(R184="高","每年审计",IF(R184="中","两年一轮","按需抽查"))))</f>
        <v/>
      </c>
      <c r="V184" s="21">
        <f>IF($A184="","",IF(N184=0,"",(N184-Q184)/N184))</f>
        <v/>
      </c>
    </row>
    <row r="185">
      <c r="M185" s="20">
        <f>IF($A185="","",ROUND(MAX(SUMPRODUCT(H185:L185,IFERROR(VLOOKUP($C185,参数配置!$A$26:$F$38,{2,3,4,5,6},FALSE),VLOOKUP(参数配置!$A$26,参数配置!$A$26:$F$38,{2,3,4,5,6},FALSE))),参数配置!$E$13*MAX(H185:L185)),2))</f>
        <v/>
      </c>
      <c r="N185" s="20">
        <f>IF($A185="","",ROUND(G185*M185,2))</f>
        <v/>
      </c>
      <c r="O185" s="3">
        <f>IF($A185="","",IF(COUNTIFS(控制措施表!$B:$B,$A185,控制措施表!$C:$C,$F185,控制措施表!$F:$F,"是")=0,IF(COUNTIFS(控制措施表!$B:$B,$A185,控制措施表!$C:$C,$F185)=0,"",MINIFS(控制措施表!$E:$E,控制措施表!$B:$B,$A185,控制措施表!$C:$C,$F185)),MINIFS(控制措施表!$E:$E,控制措施表!$B:$B,$A185,控制措施表!$C:$C,$F185,控制措施表!$F:$F,"是")))</f>
        <v/>
      </c>
      <c r="P185" s="21">
        <f>IF($A185="","",IF(N185="",0,VLOOKUP(N185,参数配置!$D$4:$E$8,2,FALSE)))</f>
        <v/>
      </c>
      <c r="Q185" s="20">
        <f>IF($A185="","",ROUND(O185*(1-P185),2))</f>
        <v/>
      </c>
      <c r="R185" s="3">
        <f>IF($A185="","",IF(Q185&gt;=参数配置!$B$12,"极高",IF(Q185&gt;=参数配置!$B$13,"高",IF(Q185&gt;=参数配置!$B$14,"中",IF(Q185&gt;=参数配置!$B$15,"低","极低")))))</f>
        <v/>
      </c>
      <c r="S185" s="3">
        <f>IF($A185="","",ROUND(M185,0))</f>
        <v/>
      </c>
      <c r="T185" s="3">
        <f>IF($A185="","",ROUND(N185,0))</f>
        <v/>
      </c>
      <c r="U185" s="3">
        <f>IF($A185="","",IF(R185="极高","每年必审",IF(R185="高","每年审计",IF(R185="中","两年一轮","按需抽查"))))</f>
        <v/>
      </c>
      <c r="V185" s="21">
        <f>IF($A185="","",IF(N185=0,"",(N185-Q185)/N185))</f>
        <v/>
      </c>
    </row>
    <row r="186">
      <c r="M186" s="20">
        <f>IF($A186="","",ROUND(MAX(SUMPRODUCT(H186:L186,IFERROR(VLOOKUP($C186,参数配置!$A$26:$F$38,{2,3,4,5,6},FALSE),VLOOKUP(参数配置!$A$26,参数配置!$A$26:$F$38,{2,3,4,5,6},FALSE))),参数配置!$E$13*MAX(H186:L186)),2))</f>
        <v/>
      </c>
      <c r="N186" s="20">
        <f>IF($A186="","",ROUND(G186*M186,2))</f>
        <v/>
      </c>
      <c r="O186" s="3">
        <f>IF($A186="","",IF(COUNTIFS(控制措施表!$B:$B,$A186,控制措施表!$C:$C,$F186,控制措施表!$F:$F,"是")=0,IF(COUNTIFS(控制措施表!$B:$B,$A186,控制措施表!$C:$C,$F186)=0,"",MINIFS(控制措施表!$E:$E,控制措施表!$B:$B,$A186,控制措施表!$C:$C,$F186)),MINIFS(控制措施表!$E:$E,控制措施表!$B:$B,$A186,控制措施表!$C:$C,$F186,控制措施表!$F:$F,"是")))</f>
        <v/>
      </c>
      <c r="P186" s="21">
        <f>IF($A186="","",IF(N186="",0,VLOOKUP(N186,参数配置!$D$4:$E$8,2,FALSE)))</f>
        <v/>
      </c>
      <c r="Q186" s="20">
        <f>IF($A186="","",ROUND(O186*(1-P186),2))</f>
        <v/>
      </c>
      <c r="R186" s="3">
        <f>IF($A186="","",IF(Q186&gt;=参数配置!$B$12,"极高",IF(Q186&gt;=参数配置!$B$13,"高",IF(Q186&gt;=参数配置!$B$14,"中",IF(Q186&gt;=参数配置!$B$15,"低","极低")))))</f>
        <v/>
      </c>
      <c r="S186" s="3">
        <f>IF($A186="","",ROUND(M186,0))</f>
        <v/>
      </c>
      <c r="T186" s="3">
        <f>IF($A186="","",ROUND(N186,0))</f>
        <v/>
      </c>
      <c r="U186" s="3">
        <f>IF($A186="","",IF(R186="极高","每年必审",IF(R186="高","每年审计",IF(R186="中","两年一轮","按需抽查"))))</f>
        <v/>
      </c>
      <c r="V186" s="21">
        <f>IF($A186="","",IF(N186=0,"",(N186-Q186)/N186))</f>
        <v/>
      </c>
    </row>
    <row r="187">
      <c r="M187" s="20">
        <f>IF($A187="","",ROUND(MAX(SUMPRODUCT(H187:L187,IFERROR(VLOOKUP($C187,参数配置!$A$26:$F$38,{2,3,4,5,6},FALSE),VLOOKUP(参数配置!$A$26,参数配置!$A$26:$F$38,{2,3,4,5,6},FALSE))),参数配置!$E$13*MAX(H187:L187)),2))</f>
        <v/>
      </c>
      <c r="N187" s="20">
        <f>IF($A187="","",ROUND(G187*M187,2))</f>
        <v/>
      </c>
      <c r="O187" s="3">
        <f>IF($A187="","",IF(COUNTIFS(控制措施表!$B:$B,$A187,控制措施表!$C:$C,$F187,控制措施表!$F:$F,"是")=0,IF(COUNTIFS(控制措施表!$B:$B,$A187,控制措施表!$C:$C,$F187)=0,"",MINIFS(控制措施表!$E:$E,控制措施表!$B:$B,$A187,控制措施表!$C:$C,$F187)),MINIFS(控制措施表!$E:$E,控制措施表!$B:$B,$A187,控制措施表!$C:$C,$F187,控制措施表!$F:$F,"是")))</f>
        <v/>
      </c>
      <c r="P187" s="21">
        <f>IF($A187="","",IF(N187="",0,VLOOKUP(N187,参数配置!$D$4:$E$8,2,FALSE)))</f>
        <v/>
      </c>
      <c r="Q187" s="20">
        <f>IF($A187="","",ROUND(O187*(1-P187),2))</f>
        <v/>
      </c>
      <c r="R187" s="3">
        <f>IF($A187="","",IF(Q187&gt;=参数配置!$B$12,"极高",IF(Q187&gt;=参数配置!$B$13,"高",IF(Q187&gt;=参数配置!$B$14,"中",IF(Q187&gt;=参数配置!$B$15,"低","极低")))))</f>
        <v/>
      </c>
      <c r="S187" s="3">
        <f>IF($A187="","",ROUND(M187,0))</f>
        <v/>
      </c>
      <c r="T187" s="3">
        <f>IF($A187="","",ROUND(N187,0))</f>
        <v/>
      </c>
      <c r="U187" s="3">
        <f>IF($A187="","",IF(R187="极高","每年必审",IF(R187="高","每年审计",IF(R187="中","两年一轮","按需抽查"))))</f>
        <v/>
      </c>
      <c r="V187" s="21">
        <f>IF($A187="","",IF(N187=0,"",(N187-Q187)/N187))</f>
        <v/>
      </c>
    </row>
    <row r="188">
      <c r="M188" s="20">
        <f>IF($A188="","",ROUND(MAX(SUMPRODUCT(H188:L188,IFERROR(VLOOKUP($C188,参数配置!$A$26:$F$38,{2,3,4,5,6},FALSE),VLOOKUP(参数配置!$A$26,参数配置!$A$26:$F$38,{2,3,4,5,6},FALSE))),参数配置!$E$13*MAX(H188:L188)),2))</f>
        <v/>
      </c>
      <c r="N188" s="20">
        <f>IF($A188="","",ROUND(G188*M188,2))</f>
        <v/>
      </c>
      <c r="O188" s="3">
        <f>IF($A188="","",IF(COUNTIFS(控制措施表!$B:$B,$A188,控制措施表!$C:$C,$F188,控制措施表!$F:$F,"是")=0,IF(COUNTIFS(控制措施表!$B:$B,$A188,控制措施表!$C:$C,$F188)=0,"",MINIFS(控制措施表!$E:$E,控制措施表!$B:$B,$A188,控制措施表!$C:$C,$F188)),MINIFS(控制措施表!$E:$E,控制措施表!$B:$B,$A188,控制措施表!$C:$C,$F188,控制措施表!$F:$F,"是")))</f>
        <v/>
      </c>
      <c r="P188" s="21">
        <f>IF($A188="","",IF(N188="",0,VLOOKUP(N188,参数配置!$D$4:$E$8,2,FALSE)))</f>
        <v/>
      </c>
      <c r="Q188" s="20">
        <f>IF($A188="","",ROUND(O188*(1-P188),2))</f>
        <v/>
      </c>
      <c r="R188" s="3">
        <f>IF($A188="","",IF(Q188&gt;=参数配置!$B$12,"极高",IF(Q188&gt;=参数配置!$B$13,"高",IF(Q188&gt;=参数配置!$B$14,"中",IF(Q188&gt;=参数配置!$B$15,"低","极低")))))</f>
        <v/>
      </c>
      <c r="S188" s="3">
        <f>IF($A188="","",ROUND(M188,0))</f>
        <v/>
      </c>
      <c r="T188" s="3">
        <f>IF($A188="","",ROUND(N188,0))</f>
        <v/>
      </c>
      <c r="U188" s="3">
        <f>IF($A188="","",IF(R188="极高","每年必审",IF(R188="高","每年审计",IF(R188="中","两年一轮","按需抽查"))))</f>
        <v/>
      </c>
      <c r="V188" s="21">
        <f>IF($A188="","",IF(N188=0,"",(N188-Q188)/N188))</f>
        <v/>
      </c>
    </row>
    <row r="189">
      <c r="M189" s="20">
        <f>IF($A189="","",ROUND(MAX(SUMPRODUCT(H189:L189,IFERROR(VLOOKUP($C189,参数配置!$A$26:$F$38,{2,3,4,5,6},FALSE),VLOOKUP(参数配置!$A$26,参数配置!$A$26:$F$38,{2,3,4,5,6},FALSE))),参数配置!$E$13*MAX(H189:L189)),2))</f>
        <v/>
      </c>
      <c r="N189" s="20">
        <f>IF($A189="","",ROUND(G189*M189,2))</f>
        <v/>
      </c>
      <c r="O189" s="3">
        <f>IF($A189="","",IF(COUNTIFS(控制措施表!$B:$B,$A189,控制措施表!$C:$C,$F189,控制措施表!$F:$F,"是")=0,IF(COUNTIFS(控制措施表!$B:$B,$A189,控制措施表!$C:$C,$F189)=0,"",MINIFS(控制措施表!$E:$E,控制措施表!$B:$B,$A189,控制措施表!$C:$C,$F189)),MINIFS(控制措施表!$E:$E,控制措施表!$B:$B,$A189,控制措施表!$C:$C,$F189,控制措施表!$F:$F,"是")))</f>
        <v/>
      </c>
      <c r="P189" s="21">
        <f>IF($A189="","",IF(N189="",0,VLOOKUP(N189,参数配置!$D$4:$E$8,2,FALSE)))</f>
        <v/>
      </c>
      <c r="Q189" s="20">
        <f>IF($A189="","",ROUND(O189*(1-P189),2))</f>
        <v/>
      </c>
      <c r="R189" s="3">
        <f>IF($A189="","",IF(Q189&gt;=参数配置!$B$12,"极高",IF(Q189&gt;=参数配置!$B$13,"高",IF(Q189&gt;=参数配置!$B$14,"中",IF(Q189&gt;=参数配置!$B$15,"低","极低")))))</f>
        <v/>
      </c>
      <c r="S189" s="3">
        <f>IF($A189="","",ROUND(M189,0))</f>
        <v/>
      </c>
      <c r="T189" s="3">
        <f>IF($A189="","",ROUND(N189,0))</f>
        <v/>
      </c>
      <c r="U189" s="3">
        <f>IF($A189="","",IF(R189="极高","每年必审",IF(R189="高","每年审计",IF(R189="中","两年一轮","按需抽查"))))</f>
        <v/>
      </c>
      <c r="V189" s="21">
        <f>IF($A189="","",IF(N189=0,"",(N189-Q189)/N189))</f>
        <v/>
      </c>
    </row>
    <row r="190">
      <c r="M190" s="20">
        <f>IF($A190="","",ROUND(MAX(SUMPRODUCT(H190:L190,IFERROR(VLOOKUP($C190,参数配置!$A$26:$F$38,{2,3,4,5,6},FALSE),VLOOKUP(参数配置!$A$26,参数配置!$A$26:$F$38,{2,3,4,5,6},FALSE))),参数配置!$E$13*MAX(H190:L190)),2))</f>
        <v/>
      </c>
      <c r="N190" s="20">
        <f>IF($A190="","",ROUND(G190*M190,2))</f>
        <v/>
      </c>
      <c r="O190" s="3">
        <f>IF($A190="","",IF(COUNTIFS(控制措施表!$B:$B,$A190,控制措施表!$C:$C,$F190,控制措施表!$F:$F,"是")=0,IF(COUNTIFS(控制措施表!$B:$B,$A190,控制措施表!$C:$C,$F190)=0,"",MINIFS(控制措施表!$E:$E,控制措施表!$B:$B,$A190,控制措施表!$C:$C,$F190)),MINIFS(控制措施表!$E:$E,控制措施表!$B:$B,$A190,控制措施表!$C:$C,$F190,控制措施表!$F:$F,"是")))</f>
        <v/>
      </c>
      <c r="P190" s="21">
        <f>IF($A190="","",IF(N190="",0,VLOOKUP(N190,参数配置!$D$4:$E$8,2,FALSE)))</f>
        <v/>
      </c>
      <c r="Q190" s="20">
        <f>IF($A190="","",ROUND(O190*(1-P190),2))</f>
        <v/>
      </c>
      <c r="R190" s="3">
        <f>IF($A190="","",IF(Q190&gt;=参数配置!$B$12,"极高",IF(Q190&gt;=参数配置!$B$13,"高",IF(Q190&gt;=参数配置!$B$14,"中",IF(Q190&gt;=参数配置!$B$15,"低","极低")))))</f>
        <v/>
      </c>
      <c r="S190" s="3">
        <f>IF($A190="","",ROUND(M190,0))</f>
        <v/>
      </c>
      <c r="T190" s="3">
        <f>IF($A190="","",ROUND(N190,0))</f>
        <v/>
      </c>
      <c r="U190" s="3">
        <f>IF($A190="","",IF(R190="极高","每年必审",IF(R190="高","每年审计",IF(R190="中","两年一轮","按需抽查"))))</f>
        <v/>
      </c>
      <c r="V190" s="21">
        <f>IF($A190="","",IF(N190=0,"",(N190-Q190)/N190))</f>
        <v/>
      </c>
    </row>
    <row r="191">
      <c r="M191" s="20">
        <f>IF($A191="","",ROUND(MAX(SUMPRODUCT(H191:L191,IFERROR(VLOOKUP($C191,参数配置!$A$26:$F$38,{2,3,4,5,6},FALSE),VLOOKUP(参数配置!$A$26,参数配置!$A$26:$F$38,{2,3,4,5,6},FALSE))),参数配置!$E$13*MAX(H191:L191)),2))</f>
        <v/>
      </c>
      <c r="N191" s="20">
        <f>IF($A191="","",ROUND(G191*M191,2))</f>
        <v/>
      </c>
      <c r="O191" s="3">
        <f>IF($A191="","",IF(COUNTIFS(控制措施表!$B:$B,$A191,控制措施表!$C:$C,$F191,控制措施表!$F:$F,"是")=0,IF(COUNTIFS(控制措施表!$B:$B,$A191,控制措施表!$C:$C,$F191)=0,"",MINIFS(控制措施表!$E:$E,控制措施表!$B:$B,$A191,控制措施表!$C:$C,$F191)),MINIFS(控制措施表!$E:$E,控制措施表!$B:$B,$A191,控制措施表!$C:$C,$F191,控制措施表!$F:$F,"是")))</f>
        <v/>
      </c>
      <c r="P191" s="21">
        <f>IF($A191="","",IF(N191="",0,VLOOKUP(N191,参数配置!$D$4:$E$8,2,FALSE)))</f>
        <v/>
      </c>
      <c r="Q191" s="20">
        <f>IF($A191="","",ROUND(O191*(1-P191),2))</f>
        <v/>
      </c>
      <c r="R191" s="3">
        <f>IF($A191="","",IF(Q191&gt;=参数配置!$B$12,"极高",IF(Q191&gt;=参数配置!$B$13,"高",IF(Q191&gt;=参数配置!$B$14,"中",IF(Q191&gt;=参数配置!$B$15,"低","极低")))))</f>
        <v/>
      </c>
      <c r="S191" s="3">
        <f>IF($A191="","",ROUND(M191,0))</f>
        <v/>
      </c>
      <c r="T191" s="3">
        <f>IF($A191="","",ROUND(N191,0))</f>
        <v/>
      </c>
      <c r="U191" s="3">
        <f>IF($A191="","",IF(R191="极高","每年必审",IF(R191="高","每年审计",IF(R191="中","两年一轮","按需抽查"))))</f>
        <v/>
      </c>
      <c r="V191" s="21">
        <f>IF($A191="","",IF(N191=0,"",(N191-Q191)/N191))</f>
        <v/>
      </c>
    </row>
    <row r="192">
      <c r="M192" s="20">
        <f>IF($A192="","",ROUND(MAX(SUMPRODUCT(H192:L192,IFERROR(VLOOKUP($C192,参数配置!$A$26:$F$38,{2,3,4,5,6},FALSE),VLOOKUP(参数配置!$A$26,参数配置!$A$26:$F$38,{2,3,4,5,6},FALSE))),参数配置!$E$13*MAX(H192:L192)),2))</f>
        <v/>
      </c>
      <c r="N192" s="20">
        <f>IF($A192="","",ROUND(G192*M192,2))</f>
        <v/>
      </c>
      <c r="O192" s="3">
        <f>IF($A192="","",IF(COUNTIFS(控制措施表!$B:$B,$A192,控制措施表!$C:$C,$F192,控制措施表!$F:$F,"是")=0,IF(COUNTIFS(控制措施表!$B:$B,$A192,控制措施表!$C:$C,$F192)=0,"",MINIFS(控制措施表!$E:$E,控制措施表!$B:$B,$A192,控制措施表!$C:$C,$F192)),MINIFS(控制措施表!$E:$E,控制措施表!$B:$B,$A192,控制措施表!$C:$C,$F192,控制措施表!$F:$F,"是")))</f>
        <v/>
      </c>
      <c r="P192" s="21">
        <f>IF($A192="","",IF(N192="",0,VLOOKUP(N192,参数配置!$D$4:$E$8,2,FALSE)))</f>
        <v/>
      </c>
      <c r="Q192" s="20">
        <f>IF($A192="","",ROUND(O192*(1-P192),2))</f>
        <v/>
      </c>
      <c r="R192" s="3">
        <f>IF($A192="","",IF(Q192&gt;=参数配置!$B$12,"极高",IF(Q192&gt;=参数配置!$B$13,"高",IF(Q192&gt;=参数配置!$B$14,"中",IF(Q192&gt;=参数配置!$B$15,"低","极低")))))</f>
        <v/>
      </c>
      <c r="S192" s="3">
        <f>IF($A192="","",ROUND(M192,0))</f>
        <v/>
      </c>
      <c r="T192" s="3">
        <f>IF($A192="","",ROUND(N192,0))</f>
        <v/>
      </c>
      <c r="U192" s="3">
        <f>IF($A192="","",IF(R192="极高","每年必审",IF(R192="高","每年审计",IF(R192="中","两年一轮","按需抽查"))))</f>
        <v/>
      </c>
      <c r="V192" s="21">
        <f>IF($A192="","",IF(N192=0,"",(N192-Q192)/N192))</f>
        <v/>
      </c>
    </row>
    <row r="193">
      <c r="M193" s="20">
        <f>IF($A193="","",ROUND(MAX(SUMPRODUCT(H193:L193,IFERROR(VLOOKUP($C193,参数配置!$A$26:$F$38,{2,3,4,5,6},FALSE),VLOOKUP(参数配置!$A$26,参数配置!$A$26:$F$38,{2,3,4,5,6},FALSE))),参数配置!$E$13*MAX(H193:L193)),2))</f>
        <v/>
      </c>
      <c r="N193" s="20">
        <f>IF($A193="","",ROUND(G193*M193,2))</f>
        <v/>
      </c>
      <c r="O193" s="3">
        <f>IF($A193="","",IF(COUNTIFS(控制措施表!$B:$B,$A193,控制措施表!$C:$C,$F193,控制措施表!$F:$F,"是")=0,IF(COUNTIFS(控制措施表!$B:$B,$A193,控制措施表!$C:$C,$F193)=0,"",MINIFS(控制措施表!$E:$E,控制措施表!$B:$B,$A193,控制措施表!$C:$C,$F193)),MINIFS(控制措施表!$E:$E,控制措施表!$B:$B,$A193,控制措施表!$C:$C,$F193,控制措施表!$F:$F,"是")))</f>
        <v/>
      </c>
      <c r="P193" s="21">
        <f>IF($A193="","",IF(N193="",0,VLOOKUP(N193,参数配置!$D$4:$E$8,2,FALSE)))</f>
        <v/>
      </c>
      <c r="Q193" s="20">
        <f>IF($A193="","",ROUND(O193*(1-P193),2))</f>
        <v/>
      </c>
      <c r="R193" s="3">
        <f>IF($A193="","",IF(Q193&gt;=参数配置!$B$12,"极高",IF(Q193&gt;=参数配置!$B$13,"高",IF(Q193&gt;=参数配置!$B$14,"中",IF(Q193&gt;=参数配置!$B$15,"低","极低")))))</f>
        <v/>
      </c>
      <c r="S193" s="3">
        <f>IF($A193="","",ROUND(M193,0))</f>
        <v/>
      </c>
      <c r="T193" s="3">
        <f>IF($A193="","",ROUND(N193,0))</f>
        <v/>
      </c>
      <c r="U193" s="3">
        <f>IF($A193="","",IF(R193="极高","每年必审",IF(R193="高","每年审计",IF(R193="中","两年一轮","按需抽查"))))</f>
        <v/>
      </c>
      <c r="V193" s="21">
        <f>IF($A193="","",IF(N193=0,"",(N193-Q193)/N193))</f>
        <v/>
      </c>
    </row>
    <row r="194">
      <c r="M194" s="20">
        <f>IF($A194="","",ROUND(MAX(SUMPRODUCT(H194:L194,IFERROR(VLOOKUP($C194,参数配置!$A$26:$F$38,{2,3,4,5,6},FALSE),VLOOKUP(参数配置!$A$26,参数配置!$A$26:$F$38,{2,3,4,5,6},FALSE))),参数配置!$E$13*MAX(H194:L194)),2))</f>
        <v/>
      </c>
      <c r="N194" s="20">
        <f>IF($A194="","",ROUND(G194*M194,2))</f>
        <v/>
      </c>
      <c r="O194" s="3">
        <f>IF($A194="","",IF(COUNTIFS(控制措施表!$B:$B,$A194,控制措施表!$C:$C,$F194,控制措施表!$F:$F,"是")=0,IF(COUNTIFS(控制措施表!$B:$B,$A194,控制措施表!$C:$C,$F194)=0,"",MINIFS(控制措施表!$E:$E,控制措施表!$B:$B,$A194,控制措施表!$C:$C,$F194)),MINIFS(控制措施表!$E:$E,控制措施表!$B:$B,$A194,控制措施表!$C:$C,$F194,控制措施表!$F:$F,"是")))</f>
        <v/>
      </c>
      <c r="P194" s="21">
        <f>IF($A194="","",IF(N194="",0,VLOOKUP(N194,参数配置!$D$4:$E$8,2,FALSE)))</f>
        <v/>
      </c>
      <c r="Q194" s="20">
        <f>IF($A194="","",ROUND(O194*(1-P194),2))</f>
        <v/>
      </c>
      <c r="R194" s="3">
        <f>IF($A194="","",IF(Q194&gt;=参数配置!$B$12,"极高",IF(Q194&gt;=参数配置!$B$13,"高",IF(Q194&gt;=参数配置!$B$14,"中",IF(Q194&gt;=参数配置!$B$15,"低","极低")))))</f>
        <v/>
      </c>
      <c r="S194" s="3">
        <f>IF($A194="","",ROUND(M194,0))</f>
        <v/>
      </c>
      <c r="T194" s="3">
        <f>IF($A194="","",ROUND(N194,0))</f>
        <v/>
      </c>
      <c r="U194" s="3">
        <f>IF($A194="","",IF(R194="极高","每年必审",IF(R194="高","每年审计",IF(R194="中","两年一轮","按需抽查"))))</f>
        <v/>
      </c>
      <c r="V194" s="21">
        <f>IF($A194="","",IF(N194=0,"",(N194-Q194)/N194))</f>
        <v/>
      </c>
    </row>
    <row r="195">
      <c r="M195" s="20">
        <f>IF($A195="","",ROUND(MAX(SUMPRODUCT(H195:L195,IFERROR(VLOOKUP($C195,参数配置!$A$26:$F$38,{2,3,4,5,6},FALSE),VLOOKUP(参数配置!$A$26,参数配置!$A$26:$F$38,{2,3,4,5,6},FALSE))),参数配置!$E$13*MAX(H195:L195)),2))</f>
        <v/>
      </c>
      <c r="N195" s="20">
        <f>IF($A195="","",ROUND(G195*M195,2))</f>
        <v/>
      </c>
      <c r="O195" s="3">
        <f>IF($A195="","",IF(COUNTIFS(控制措施表!$B:$B,$A195,控制措施表!$C:$C,$F195,控制措施表!$F:$F,"是")=0,IF(COUNTIFS(控制措施表!$B:$B,$A195,控制措施表!$C:$C,$F195)=0,"",MINIFS(控制措施表!$E:$E,控制措施表!$B:$B,$A195,控制措施表!$C:$C,$F195)),MINIFS(控制措施表!$E:$E,控制措施表!$B:$B,$A195,控制措施表!$C:$C,$F195,控制措施表!$F:$F,"是")))</f>
        <v/>
      </c>
      <c r="P195" s="21">
        <f>IF($A195="","",IF(N195="",0,VLOOKUP(N195,参数配置!$D$4:$E$8,2,FALSE)))</f>
        <v/>
      </c>
      <c r="Q195" s="20">
        <f>IF($A195="","",ROUND(O195*(1-P195),2))</f>
        <v/>
      </c>
      <c r="R195" s="3">
        <f>IF($A195="","",IF(Q195&gt;=参数配置!$B$12,"极高",IF(Q195&gt;=参数配置!$B$13,"高",IF(Q195&gt;=参数配置!$B$14,"中",IF(Q195&gt;=参数配置!$B$15,"低","极低")))))</f>
        <v/>
      </c>
      <c r="S195" s="3">
        <f>IF($A195="","",ROUND(M195,0))</f>
        <v/>
      </c>
      <c r="T195" s="3">
        <f>IF($A195="","",ROUND(N195,0))</f>
        <v/>
      </c>
      <c r="U195" s="3">
        <f>IF($A195="","",IF(R195="极高","每年必审",IF(R195="高","每年审计",IF(R195="中","两年一轮","按需抽查"))))</f>
        <v/>
      </c>
      <c r="V195" s="21">
        <f>IF($A195="","",IF(N195=0,"",(N195-Q195)/N195))</f>
        <v/>
      </c>
    </row>
    <row r="196">
      <c r="M196" s="20">
        <f>IF($A196="","",ROUND(MAX(SUMPRODUCT(H196:L196,IFERROR(VLOOKUP($C196,参数配置!$A$26:$F$38,{2,3,4,5,6},FALSE),VLOOKUP(参数配置!$A$26,参数配置!$A$26:$F$38,{2,3,4,5,6},FALSE))),参数配置!$E$13*MAX(H196:L196)),2))</f>
        <v/>
      </c>
      <c r="N196" s="20">
        <f>IF($A196="","",ROUND(G196*M196,2))</f>
        <v/>
      </c>
      <c r="O196" s="3">
        <f>IF($A196="","",IF(COUNTIFS(控制措施表!$B:$B,$A196,控制措施表!$C:$C,$F196,控制措施表!$F:$F,"是")=0,IF(COUNTIFS(控制措施表!$B:$B,$A196,控制措施表!$C:$C,$F196)=0,"",MINIFS(控制措施表!$E:$E,控制措施表!$B:$B,$A196,控制措施表!$C:$C,$F196)),MINIFS(控制措施表!$E:$E,控制措施表!$B:$B,$A196,控制措施表!$C:$C,$F196,控制措施表!$F:$F,"是")))</f>
        <v/>
      </c>
      <c r="P196" s="21">
        <f>IF($A196="","",IF(N196="",0,VLOOKUP(N196,参数配置!$D$4:$E$8,2,FALSE)))</f>
        <v/>
      </c>
      <c r="Q196" s="20">
        <f>IF($A196="","",ROUND(O196*(1-P196),2))</f>
        <v/>
      </c>
      <c r="R196" s="3">
        <f>IF($A196="","",IF(Q196&gt;=参数配置!$B$12,"极高",IF(Q196&gt;=参数配置!$B$13,"高",IF(Q196&gt;=参数配置!$B$14,"中",IF(Q196&gt;=参数配置!$B$15,"低","极低")))))</f>
        <v/>
      </c>
      <c r="S196" s="3">
        <f>IF($A196="","",ROUND(M196,0))</f>
        <v/>
      </c>
      <c r="T196" s="3">
        <f>IF($A196="","",ROUND(N196,0))</f>
        <v/>
      </c>
      <c r="U196" s="3">
        <f>IF($A196="","",IF(R196="极高","每年必审",IF(R196="高","每年审计",IF(R196="中","两年一轮","按需抽查"))))</f>
        <v/>
      </c>
      <c r="V196" s="21">
        <f>IF($A196="","",IF(N196=0,"",(N196-Q196)/N196))</f>
        <v/>
      </c>
    </row>
    <row r="197">
      <c r="M197" s="20">
        <f>IF($A197="","",ROUND(MAX(SUMPRODUCT(H197:L197,IFERROR(VLOOKUP($C197,参数配置!$A$26:$F$38,{2,3,4,5,6},FALSE),VLOOKUP(参数配置!$A$26,参数配置!$A$26:$F$38,{2,3,4,5,6},FALSE))),参数配置!$E$13*MAX(H197:L197)),2))</f>
        <v/>
      </c>
      <c r="N197" s="20">
        <f>IF($A197="","",ROUND(G197*M197,2))</f>
        <v/>
      </c>
      <c r="O197" s="3">
        <f>IF($A197="","",IF(COUNTIFS(控制措施表!$B:$B,$A197,控制措施表!$C:$C,$F197,控制措施表!$F:$F,"是")=0,IF(COUNTIFS(控制措施表!$B:$B,$A197,控制措施表!$C:$C,$F197)=0,"",MINIFS(控制措施表!$E:$E,控制措施表!$B:$B,$A197,控制措施表!$C:$C,$F197)),MINIFS(控制措施表!$E:$E,控制措施表!$B:$B,$A197,控制措施表!$C:$C,$F197,控制措施表!$F:$F,"是")))</f>
        <v/>
      </c>
      <c r="P197" s="21">
        <f>IF($A197="","",IF(N197="",0,VLOOKUP(N197,参数配置!$D$4:$E$8,2,FALSE)))</f>
        <v/>
      </c>
      <c r="Q197" s="20">
        <f>IF($A197="","",ROUND(O197*(1-P197),2))</f>
        <v/>
      </c>
      <c r="R197" s="3">
        <f>IF($A197="","",IF(Q197&gt;=参数配置!$B$12,"极高",IF(Q197&gt;=参数配置!$B$13,"高",IF(Q197&gt;=参数配置!$B$14,"中",IF(Q197&gt;=参数配置!$B$15,"低","极低")))))</f>
        <v/>
      </c>
      <c r="S197" s="3">
        <f>IF($A197="","",ROUND(M197,0))</f>
        <v/>
      </c>
      <c r="T197" s="3">
        <f>IF($A197="","",ROUND(N197,0))</f>
        <v/>
      </c>
      <c r="U197" s="3">
        <f>IF($A197="","",IF(R197="极高","每年必审",IF(R197="高","每年审计",IF(R197="中","两年一轮","按需抽查"))))</f>
        <v/>
      </c>
      <c r="V197" s="21">
        <f>IF($A197="","",IF(N197=0,"",(N197-Q197)/N197))</f>
        <v/>
      </c>
    </row>
    <row r="198">
      <c r="M198" s="20">
        <f>IF($A198="","",ROUND(MAX(SUMPRODUCT(H198:L198,IFERROR(VLOOKUP($C198,参数配置!$A$26:$F$38,{2,3,4,5,6},FALSE),VLOOKUP(参数配置!$A$26,参数配置!$A$26:$F$38,{2,3,4,5,6},FALSE))),参数配置!$E$13*MAX(H198:L198)),2))</f>
        <v/>
      </c>
      <c r="N198" s="20">
        <f>IF($A198="","",ROUND(G198*M198,2))</f>
        <v/>
      </c>
      <c r="O198" s="3">
        <f>IF($A198="","",IF(COUNTIFS(控制措施表!$B:$B,$A198,控制措施表!$C:$C,$F198,控制措施表!$F:$F,"是")=0,IF(COUNTIFS(控制措施表!$B:$B,$A198,控制措施表!$C:$C,$F198)=0,"",MINIFS(控制措施表!$E:$E,控制措施表!$B:$B,$A198,控制措施表!$C:$C,$F198)),MINIFS(控制措施表!$E:$E,控制措施表!$B:$B,$A198,控制措施表!$C:$C,$F198,控制措施表!$F:$F,"是")))</f>
        <v/>
      </c>
      <c r="P198" s="21">
        <f>IF($A198="","",IF(N198="",0,VLOOKUP(N198,参数配置!$D$4:$E$8,2,FALSE)))</f>
        <v/>
      </c>
      <c r="Q198" s="20">
        <f>IF($A198="","",ROUND(O198*(1-P198),2))</f>
        <v/>
      </c>
      <c r="R198" s="3">
        <f>IF($A198="","",IF(Q198&gt;=参数配置!$B$12,"极高",IF(Q198&gt;=参数配置!$B$13,"高",IF(Q198&gt;=参数配置!$B$14,"中",IF(Q198&gt;=参数配置!$B$15,"低","极低")))))</f>
        <v/>
      </c>
      <c r="S198" s="3">
        <f>IF($A198="","",ROUND(M198,0))</f>
        <v/>
      </c>
      <c r="T198" s="3">
        <f>IF($A198="","",ROUND(N198,0))</f>
        <v/>
      </c>
      <c r="U198" s="3">
        <f>IF($A198="","",IF(R198="极高","每年必审",IF(R198="高","每年审计",IF(R198="中","两年一轮","按需抽查"))))</f>
        <v/>
      </c>
      <c r="V198" s="21">
        <f>IF($A198="","",IF(N198=0,"",(N198-Q198)/N198))</f>
        <v/>
      </c>
    </row>
    <row r="199">
      <c r="M199" s="20">
        <f>IF($A199="","",ROUND(MAX(SUMPRODUCT(H199:L199,IFERROR(VLOOKUP($C199,参数配置!$A$26:$F$38,{2,3,4,5,6},FALSE),VLOOKUP(参数配置!$A$26,参数配置!$A$26:$F$38,{2,3,4,5,6},FALSE))),参数配置!$E$13*MAX(H199:L199)),2))</f>
        <v/>
      </c>
      <c r="N199" s="20">
        <f>IF($A199="","",ROUND(G199*M199,2))</f>
        <v/>
      </c>
      <c r="O199" s="3">
        <f>IF($A199="","",IF(COUNTIFS(控制措施表!$B:$B,$A199,控制措施表!$C:$C,$F199,控制措施表!$F:$F,"是")=0,IF(COUNTIFS(控制措施表!$B:$B,$A199,控制措施表!$C:$C,$F199)=0,"",MINIFS(控制措施表!$E:$E,控制措施表!$B:$B,$A199,控制措施表!$C:$C,$F199)),MINIFS(控制措施表!$E:$E,控制措施表!$B:$B,$A199,控制措施表!$C:$C,$F199,控制措施表!$F:$F,"是")))</f>
        <v/>
      </c>
      <c r="P199" s="21">
        <f>IF($A199="","",IF(N199="",0,VLOOKUP(N199,参数配置!$D$4:$E$8,2,FALSE)))</f>
        <v/>
      </c>
      <c r="Q199" s="20">
        <f>IF($A199="","",ROUND(O199*(1-P199),2))</f>
        <v/>
      </c>
      <c r="R199" s="3">
        <f>IF($A199="","",IF(Q199&gt;=参数配置!$B$12,"极高",IF(Q199&gt;=参数配置!$B$13,"高",IF(Q199&gt;=参数配置!$B$14,"中",IF(Q199&gt;=参数配置!$B$15,"低","极低")))))</f>
        <v/>
      </c>
      <c r="S199" s="3">
        <f>IF($A199="","",ROUND(M199,0))</f>
        <v/>
      </c>
      <c r="T199" s="3">
        <f>IF($A199="","",ROUND(N199,0))</f>
        <v/>
      </c>
      <c r="U199" s="3">
        <f>IF($A199="","",IF(R199="极高","每年必审",IF(R199="高","每年审计",IF(R199="中","两年一轮","按需抽查"))))</f>
        <v/>
      </c>
      <c r="V199" s="21">
        <f>IF($A199="","",IF(N199=0,"",(N199-Q199)/N199))</f>
        <v/>
      </c>
    </row>
    <row r="200">
      <c r="M200" s="20">
        <f>IF($A200="","",ROUND(MAX(SUMPRODUCT(H200:L200,IFERROR(VLOOKUP($C200,参数配置!$A$26:$F$38,{2,3,4,5,6},FALSE),VLOOKUP(参数配置!$A$26,参数配置!$A$26:$F$38,{2,3,4,5,6},FALSE))),参数配置!$E$13*MAX(H200:L200)),2))</f>
        <v/>
      </c>
      <c r="N200" s="20">
        <f>IF($A200="","",ROUND(G200*M200,2))</f>
        <v/>
      </c>
      <c r="O200" s="3">
        <f>IF($A200="","",IF(COUNTIFS(控制措施表!$B:$B,$A200,控制措施表!$C:$C,$F200,控制措施表!$F:$F,"是")=0,IF(COUNTIFS(控制措施表!$B:$B,$A200,控制措施表!$C:$C,$F200)=0,"",MINIFS(控制措施表!$E:$E,控制措施表!$B:$B,$A200,控制措施表!$C:$C,$F200)),MINIFS(控制措施表!$E:$E,控制措施表!$B:$B,$A200,控制措施表!$C:$C,$F200,控制措施表!$F:$F,"是")))</f>
        <v/>
      </c>
      <c r="P200" s="21">
        <f>IF($A200="","",IF(N200="",0,VLOOKUP(N200,参数配置!$D$4:$E$8,2,FALSE)))</f>
        <v/>
      </c>
      <c r="Q200" s="20">
        <f>IF($A200="","",ROUND(O200*(1-P200),2))</f>
        <v/>
      </c>
      <c r="R200" s="3">
        <f>IF($A200="","",IF(Q200&gt;=参数配置!$B$12,"极高",IF(Q200&gt;=参数配置!$B$13,"高",IF(Q200&gt;=参数配置!$B$14,"中",IF(Q200&gt;=参数配置!$B$15,"低","极低")))))</f>
        <v/>
      </c>
      <c r="S200" s="3">
        <f>IF($A200="","",ROUND(M200,0))</f>
        <v/>
      </c>
      <c r="T200" s="3">
        <f>IF($A200="","",ROUND(N200,0))</f>
        <v/>
      </c>
      <c r="U200" s="3">
        <f>IF($A200="","",IF(R200="极高","每年必审",IF(R200="高","每年审计",IF(R200="中","两年一轮","按需抽查"))))</f>
        <v/>
      </c>
      <c r="V200" s="21">
        <f>IF($A200="","",IF(N200=0,"",(N200-Q200)/N200))</f>
        <v/>
      </c>
    </row>
    <row r="201">
      <c r="M201" s="20">
        <f>IF($A201="","",ROUND(MAX(SUMPRODUCT(H201:L201,IFERROR(VLOOKUP($C201,参数配置!$A$26:$F$38,{2,3,4,5,6},FALSE),VLOOKUP(参数配置!$A$26,参数配置!$A$26:$F$38,{2,3,4,5,6},FALSE))),参数配置!$E$13*MAX(H201:L201)),2))</f>
        <v/>
      </c>
      <c r="N201" s="20">
        <f>IF($A201="","",ROUND(G201*M201,2))</f>
        <v/>
      </c>
      <c r="O201" s="3">
        <f>IF($A201="","",IF(COUNTIFS(控制措施表!$B:$B,$A201,控制措施表!$C:$C,$F201,控制措施表!$F:$F,"是")=0,IF(COUNTIFS(控制措施表!$B:$B,$A201,控制措施表!$C:$C,$F201)=0,"",MINIFS(控制措施表!$E:$E,控制措施表!$B:$B,$A201,控制措施表!$C:$C,$F201)),MINIFS(控制措施表!$E:$E,控制措施表!$B:$B,$A201,控制措施表!$C:$C,$F201,控制措施表!$F:$F,"是")))</f>
        <v/>
      </c>
      <c r="P201" s="21">
        <f>IF($A201="","",IF(N201="",0,VLOOKUP(N201,参数配置!$D$4:$E$8,2,FALSE)))</f>
        <v/>
      </c>
      <c r="Q201" s="20">
        <f>IF($A201="","",ROUND(O201*(1-P201),2))</f>
        <v/>
      </c>
      <c r="R201" s="3">
        <f>IF($A201="","",IF(Q201&gt;=参数配置!$B$12,"极高",IF(Q201&gt;=参数配置!$B$13,"高",IF(Q201&gt;=参数配置!$B$14,"中",IF(Q201&gt;=参数配置!$B$15,"低","极低")))))</f>
        <v/>
      </c>
      <c r="S201" s="3">
        <f>IF($A201="","",ROUND(M201,0))</f>
        <v/>
      </c>
      <c r="T201" s="3">
        <f>IF($A201="","",ROUND(N201,0))</f>
        <v/>
      </c>
      <c r="U201" s="3">
        <f>IF($A201="","",IF(R201="极高","每年必审",IF(R201="高","每年审计",IF(R201="中","两年一轮","按需抽查"))))</f>
        <v/>
      </c>
      <c r="V201" s="21">
        <f>IF($A201="","",IF(N201=0,"",(N201-Q201)/N201))</f>
        <v/>
      </c>
    </row>
    <row r="202">
      <c r="M202" s="20">
        <f>IF($A202="","",ROUND(MAX(SUMPRODUCT(H202:L202,IFERROR(VLOOKUP($C202,参数配置!$A$26:$F$38,{2,3,4,5,6},FALSE),VLOOKUP(参数配置!$A$26,参数配置!$A$26:$F$38,{2,3,4,5,6},FALSE))),参数配置!$E$13*MAX(H202:L202)),2))</f>
        <v/>
      </c>
      <c r="N202" s="20">
        <f>IF($A202="","",ROUND(G202*M202,2))</f>
        <v/>
      </c>
      <c r="O202" s="3">
        <f>IF($A202="","",IF(COUNTIFS(控制措施表!$B:$B,$A202,控制措施表!$C:$C,$F202,控制措施表!$F:$F,"是")=0,IF(COUNTIFS(控制措施表!$B:$B,$A202,控制措施表!$C:$C,$F202)=0,"",MINIFS(控制措施表!$E:$E,控制措施表!$B:$B,$A202,控制措施表!$C:$C,$F202)),MINIFS(控制措施表!$E:$E,控制措施表!$B:$B,$A202,控制措施表!$C:$C,$F202,控制措施表!$F:$F,"是")))</f>
        <v/>
      </c>
      <c r="P202" s="21">
        <f>IF($A202="","",IF(N202="",0,VLOOKUP(N202,参数配置!$D$4:$E$8,2,FALSE)))</f>
        <v/>
      </c>
      <c r="Q202" s="20">
        <f>IF($A202="","",ROUND(O202*(1-P202),2))</f>
        <v/>
      </c>
      <c r="R202" s="3">
        <f>IF($A202="","",IF(Q202&gt;=参数配置!$B$12,"极高",IF(Q202&gt;=参数配置!$B$13,"高",IF(Q202&gt;=参数配置!$B$14,"中",IF(Q202&gt;=参数配置!$B$15,"低","极低")))))</f>
        <v/>
      </c>
      <c r="S202" s="3">
        <f>IF($A202="","",ROUND(M202,0))</f>
        <v/>
      </c>
      <c r="T202" s="3">
        <f>IF($A202="","",ROUND(N202,0))</f>
        <v/>
      </c>
      <c r="U202" s="3">
        <f>IF($A202="","",IF(R202="极高","每年必审",IF(R202="高","每年审计",IF(R202="中","两年一轮","按需抽查"))))</f>
        <v/>
      </c>
      <c r="V202" s="21">
        <f>IF($A202="","",IF(N202=0,"",(N202-Q202)/N202))</f>
        <v/>
      </c>
    </row>
    <row r="203">
      <c r="M203" s="20">
        <f>IF($A203="","",ROUND(MAX(SUMPRODUCT(H203:L203,IFERROR(VLOOKUP($C203,参数配置!$A$26:$F$38,{2,3,4,5,6},FALSE),VLOOKUP(参数配置!$A$26,参数配置!$A$26:$F$38,{2,3,4,5,6},FALSE))),参数配置!$E$13*MAX(H203:L203)),2))</f>
        <v/>
      </c>
      <c r="N203" s="20">
        <f>IF($A203="","",ROUND(G203*M203,2))</f>
        <v/>
      </c>
      <c r="O203" s="3">
        <f>IF($A203="","",IF(COUNTIFS(控制措施表!$B:$B,$A203,控制措施表!$C:$C,$F203,控制措施表!$F:$F,"是")=0,IF(COUNTIFS(控制措施表!$B:$B,$A203,控制措施表!$C:$C,$F203)=0,"",MINIFS(控制措施表!$E:$E,控制措施表!$B:$B,$A203,控制措施表!$C:$C,$F203)),MINIFS(控制措施表!$E:$E,控制措施表!$B:$B,$A203,控制措施表!$C:$C,$F203,控制措施表!$F:$F,"是")))</f>
        <v/>
      </c>
      <c r="P203" s="21">
        <f>IF($A203="","",IF(N203="",0,VLOOKUP(N203,参数配置!$D$4:$E$8,2,FALSE)))</f>
        <v/>
      </c>
      <c r="Q203" s="20">
        <f>IF($A203="","",ROUND(O203*(1-P203),2))</f>
        <v/>
      </c>
      <c r="R203" s="3">
        <f>IF($A203="","",IF(Q203&gt;=参数配置!$B$12,"极高",IF(Q203&gt;=参数配置!$B$13,"高",IF(Q203&gt;=参数配置!$B$14,"中",IF(Q203&gt;=参数配置!$B$15,"低","极低")))))</f>
        <v/>
      </c>
      <c r="S203" s="3">
        <f>IF($A203="","",ROUND(M203,0))</f>
        <v/>
      </c>
      <c r="T203" s="3">
        <f>IF($A203="","",ROUND(N203,0))</f>
        <v/>
      </c>
      <c r="U203" s="3">
        <f>IF($A203="","",IF(R203="极高","每年必审",IF(R203="高","每年审计",IF(R203="中","两年一轮","按需抽查"))))</f>
        <v/>
      </c>
      <c r="V203" s="21">
        <f>IF($A203="","",IF(N203=0,"",(N203-Q203)/N203))</f>
        <v/>
      </c>
    </row>
  </sheetData>
  <conditionalFormatting sqref="R4:R203">
    <cfRule type="expression" priority="1" dxfId="1" stopIfTrue="1">
      <formula>$R4="极高"</formula>
    </cfRule>
    <cfRule type="expression" priority="2" dxfId="2" stopIfTrue="1">
      <formula>$R4="高"</formula>
    </cfRule>
    <cfRule type="expression" priority="3" dxfId="3" stopIfTrue="1">
      <formula>$R4="中"</formula>
    </cfRule>
    <cfRule type="expression" priority="4" dxfId="4" stopIfTrue="1">
      <formula>$R4="低"</formula>
    </cfRule>
    <cfRule type="expression" priority="5" dxfId="5" stopIfTrue="1">
      <formula>$R4="极低"</formula>
    </cfRule>
  </conditionalFormatting>
  <conditionalFormatting sqref="Q4:Q203">
    <cfRule type="expression" priority="6" dxfId="6" stopIfTrue="1">
      <formula>AND(ISNUMBER(Q4),Q4&gt;=参数配置!$B$12)</formula>
    </cfRule>
    <cfRule type="expression" priority="7" dxfId="7" stopIfTrue="1">
      <formula>AND(ISNUMBER(Q4),Q4&gt;=参数配置!$B$13,Q4&lt;参数配置!$B$12)</formula>
    </cfRule>
    <cfRule type="expression" priority="8" dxfId="8" stopIfTrue="1">
      <formula>AND(ISNUMBER(Q4),Q4&gt;=参数配置!$B$14,Q4&lt;参数配置!$B$13)</formula>
    </cfRule>
    <cfRule type="expression" priority="9" dxfId="9" stopIfTrue="1">
      <formula>AND(ISNUMBER(Q4),Q4&gt;=参数配置!$B$15,Q4&lt;参数配置!$B$14)</formula>
    </cfRule>
    <cfRule type="expression" priority="10" dxfId="10" stopIfTrue="1">
      <formula>AND(ISNUMBER(Q4),Q4&lt;参数配置!$B$15)</formula>
    </cfRule>
  </conditionalFormatting>
  <dataValidations count="3">
    <dataValidation sqref="G4:L203" showDropDown="0" showInputMessage="0" showErrorMessage="0" allowBlank="1" errorTitle="评分超出范围" error="请输入 1~5 的整数" type="whole" operator="between">
      <formula1>1</formula1>
      <formula2>5</formula2>
    </dataValidation>
    <dataValidation sqref="F4:F203" showDropDown="0" showInputMessage="0" showErrorMessage="0" allowBlank="1" errorTitle="期间无效" error="请从下拉列表选择（期间清单在参数配置页 I 列维护）" type="list">
      <formula1>=参数配置!$I$3:$I$8</formula1>
    </dataValidation>
    <dataValidation sqref="C4:C203" showDropDown="0" showInputMessage="0" showErrorMessage="0" allowBlank="1" errorTitle="领域无效" error="请从下拉列表选择" type="list">
      <formula1>"战略与投资,治理与决策,资金活动,财务报告与税务,资产管理,采购与外包,合同管理,工程项目,人力资源,信息系统,合规与法律,安全环保"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8A3A5"/>
    <outlinePr summaryBelow="1" summaryRight="1"/>
    <pageSetUpPr/>
  </sheetPr>
  <dimension ref="A1:F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52" customWidth="1" min="4" max="4"/>
    <col width="11" customWidth="1" min="5" max="5"/>
    <col width="9" customWidth="1" min="6" max="6"/>
  </cols>
  <sheetData>
    <row r="1">
      <c r="A1" s="1" t="inlineStr">
        <is>
          <t>控制措施表（每条风险可挂多条控制点；剩余风险按“关键控制最弱分”折减，未标记关键则按全部控制点最弱分）</t>
        </is>
      </c>
    </row>
    <row r="3" ht="30" customHeight="1">
      <c r="A3" s="5" t="inlineStr">
        <is>
          <t>控制编号</t>
        </is>
      </c>
      <c r="B3" s="5" t="inlineStr">
        <is>
          <t>关联风险编号</t>
        </is>
      </c>
      <c r="C3" s="5" t="inlineStr">
        <is>
          <t>评估期间</t>
        </is>
      </c>
      <c r="D3" s="5" t="inlineStr">
        <is>
          <t>控制点描述</t>
        </is>
      </c>
      <c r="E3" s="5" t="inlineStr">
        <is>
          <t>有效性评分
(1-5)</t>
        </is>
      </c>
      <c r="F3" s="5" t="inlineStr">
        <is>
          <t>关键控制</t>
        </is>
      </c>
    </row>
    <row r="4">
      <c r="A4" s="6" t="inlineStr">
        <is>
          <t>C001</t>
        </is>
      </c>
      <c r="B4" s="6" t="inlineStr">
        <is>
          <t>R001</t>
        </is>
      </c>
      <c r="C4" s="6" t="inlineStr">
        <is>
          <t>2026H1</t>
        </is>
      </c>
      <c r="D4" s="19" t="inlineStr">
        <is>
          <t>预算系统刚性拦截超标报销</t>
        </is>
      </c>
      <c r="E4" s="6" t="n">
        <v>4</v>
      </c>
      <c r="F4" s="6" t="inlineStr">
        <is>
          <t>否</t>
        </is>
      </c>
    </row>
    <row r="5">
      <c r="A5" s="6" t="inlineStr">
        <is>
          <t>C002</t>
        </is>
      </c>
      <c r="B5" s="6" t="inlineStr">
        <is>
          <t>R001</t>
        </is>
      </c>
      <c r="C5" s="6" t="inlineStr">
        <is>
          <t>2026H1</t>
        </is>
      </c>
      <c r="D5" s="19" t="inlineStr">
        <is>
          <t>大额报销双人复核并抽凭</t>
        </is>
      </c>
      <c r="E5" s="6" t="n">
        <v>3</v>
      </c>
      <c r="F5" s="6" t="inlineStr">
        <is>
          <t>是</t>
        </is>
      </c>
    </row>
    <row r="6">
      <c r="A6" s="6" t="inlineStr">
        <is>
          <t>C003</t>
        </is>
      </c>
      <c r="B6" s="6" t="inlineStr">
        <is>
          <t>R002</t>
        </is>
      </c>
      <c r="C6" s="6" t="inlineStr">
        <is>
          <t>2026H1</t>
        </is>
      </c>
      <c r="D6" s="19" t="inlineStr">
        <is>
          <t>季度收入截止测试程序</t>
        </is>
      </c>
      <c r="E6" s="6" t="n">
        <v>4</v>
      </c>
      <c r="F6" s="6" t="inlineStr">
        <is>
          <t>是</t>
        </is>
      </c>
    </row>
    <row r="7">
      <c r="A7" s="6" t="inlineStr">
        <is>
          <t>C004</t>
        </is>
      </c>
      <c r="B7" s="6" t="inlineStr">
        <is>
          <t>R002</t>
        </is>
      </c>
      <c r="C7" s="6" t="inlineStr">
        <is>
          <t>2026H1</t>
        </is>
      </c>
      <c r="D7" s="19" t="inlineStr">
        <is>
          <t>业财对账自动化月度核对</t>
        </is>
      </c>
      <c r="E7" s="6" t="n">
        <v>3</v>
      </c>
      <c r="F7" s="6" t="inlineStr">
        <is>
          <t>否</t>
        </is>
      </c>
    </row>
    <row r="8">
      <c r="A8" s="6" t="inlineStr">
        <is>
          <t>C005</t>
        </is>
      </c>
      <c r="B8" s="6" t="inlineStr">
        <is>
          <t>R003</t>
        </is>
      </c>
      <c r="C8" s="6" t="inlineStr">
        <is>
          <t>2026H1</t>
        </is>
      </c>
      <c r="D8" s="19" t="inlineStr">
        <is>
          <t>审批权限矩阵嵌入 OA 硬控制</t>
        </is>
      </c>
      <c r="E8" s="6" t="n">
        <v>4</v>
      </c>
      <c r="F8" s="6" t="inlineStr">
        <is>
          <t>否</t>
        </is>
      </c>
    </row>
    <row r="9">
      <c r="A9" s="6" t="inlineStr">
        <is>
          <t>C006</t>
        </is>
      </c>
      <c r="B9" s="6" t="inlineStr">
        <is>
          <t>R003</t>
        </is>
      </c>
      <c r="C9" s="6" t="inlineStr">
        <is>
          <t>2026H1</t>
        </is>
      </c>
      <c r="D9" s="19" t="inlineStr">
        <is>
          <t>网银支付双人复核</t>
        </is>
      </c>
      <c r="E9" s="6" t="n">
        <v>5</v>
      </c>
      <c r="F9" s="6" t="inlineStr">
        <is>
          <t>是</t>
        </is>
      </c>
    </row>
    <row r="10">
      <c r="A10" s="6" t="inlineStr">
        <is>
          <t>C007</t>
        </is>
      </c>
      <c r="B10" s="6" t="inlineStr">
        <is>
          <t>R003</t>
        </is>
      </c>
      <c r="C10" s="6" t="inlineStr">
        <is>
          <t>2026H1</t>
        </is>
      </c>
      <c r="D10" s="19" t="inlineStr">
        <is>
          <t>内审资金专项检查</t>
        </is>
      </c>
      <c r="E10" s="6" t="n">
        <v>3</v>
      </c>
      <c r="F10" s="6" t="inlineStr">
        <is>
          <t>否</t>
        </is>
      </c>
    </row>
    <row r="11">
      <c r="A11" s="6" t="inlineStr">
        <is>
          <t>C008</t>
        </is>
      </c>
      <c r="B11" s="6" t="inlineStr">
        <is>
          <t>R004</t>
        </is>
      </c>
      <c r="C11" s="6" t="inlineStr">
        <is>
          <t>2026H1</t>
        </is>
      </c>
      <c r="D11" s="19" t="inlineStr">
        <is>
          <t>全流程电子化招投标平台留痕</t>
        </is>
      </c>
      <c r="E11" s="6" t="n">
        <v>4</v>
      </c>
      <c r="F11" s="6" t="inlineStr">
        <is>
          <t>是</t>
        </is>
      </c>
    </row>
    <row r="12">
      <c r="A12" s="6" t="inlineStr">
        <is>
          <t>C009</t>
        </is>
      </c>
      <c r="B12" s="6" t="inlineStr">
        <is>
          <t>R004</t>
        </is>
      </c>
      <c r="C12" s="6" t="inlineStr">
        <is>
          <t>2026H1</t>
        </is>
      </c>
      <c r="D12" s="19" t="inlineStr">
        <is>
          <t>供应商关联关系申报承诺</t>
        </is>
      </c>
      <c r="E12" s="6" t="n">
        <v>3</v>
      </c>
      <c r="F12" s="6" t="inlineStr">
        <is>
          <t>否</t>
        </is>
      </c>
    </row>
    <row r="13">
      <c r="A13" s="6" t="inlineStr">
        <is>
          <t>C010</t>
        </is>
      </c>
      <c r="B13" s="6" t="inlineStr">
        <is>
          <t>R004</t>
        </is>
      </c>
      <c r="C13" s="6" t="inlineStr">
        <is>
          <t>2026H1</t>
        </is>
      </c>
      <c r="D13" s="19" t="inlineStr">
        <is>
          <t>评标专家随机抽取</t>
        </is>
      </c>
      <c r="E13" s="6" t="n">
        <v>4</v>
      </c>
      <c r="F13" s="6" t="inlineStr">
        <is>
          <t>否</t>
        </is>
      </c>
    </row>
    <row r="14">
      <c r="A14" s="6" t="inlineStr">
        <is>
          <t>C011</t>
        </is>
      </c>
      <c r="B14" s="6" t="inlineStr">
        <is>
          <t>R005</t>
        </is>
      </c>
      <c r="C14" s="6" t="inlineStr">
        <is>
          <t>2026H1</t>
        </is>
      </c>
      <c r="D14" s="19" t="inlineStr">
        <is>
          <t>标准合同模板库加法务会签</t>
        </is>
      </c>
      <c r="E14" s="6" t="n">
        <v>4</v>
      </c>
      <c r="F14" s="6" t="inlineStr">
        <is>
          <t>是</t>
        </is>
      </c>
    </row>
    <row r="15">
      <c r="A15" s="6" t="inlineStr">
        <is>
          <t>C012</t>
        </is>
      </c>
      <c r="B15" s="6" t="inlineStr">
        <is>
          <t>R005</t>
        </is>
      </c>
      <c r="C15" s="6" t="inlineStr">
        <is>
          <t>2026H1</t>
        </is>
      </c>
      <c r="D15" s="19" t="inlineStr">
        <is>
          <t>履约台账跟踪预警</t>
        </is>
      </c>
      <c r="E15" s="6" t="n">
        <v>3</v>
      </c>
      <c r="F15" s="6" t="inlineStr">
        <is>
          <t>否</t>
        </is>
      </c>
    </row>
    <row r="16">
      <c r="A16" s="6" t="inlineStr">
        <is>
          <t>C013</t>
        </is>
      </c>
      <c r="B16" s="6" t="inlineStr">
        <is>
          <t>R006</t>
        </is>
      </c>
      <c r="C16" s="6" t="inlineStr">
        <is>
          <t>2026H1</t>
        </is>
      </c>
      <c r="D16" s="19" t="inlineStr">
        <is>
          <t>三方联合验收并影像留存</t>
        </is>
      </c>
      <c r="E16" s="6" t="n">
        <v>4</v>
      </c>
      <c r="F16" s="6" t="inlineStr">
        <is>
          <t>是</t>
        </is>
      </c>
    </row>
    <row r="17">
      <c r="A17" s="6" t="inlineStr">
        <is>
          <t>C014</t>
        </is>
      </c>
      <c r="B17" s="6" t="inlineStr">
        <is>
          <t>R007</t>
        </is>
      </c>
      <c r="C17" s="6" t="inlineStr">
        <is>
          <t>2026H1</t>
        </is>
      </c>
      <c r="D17" s="19" t="inlineStr">
        <is>
          <t>限额设计与变更分级审批</t>
        </is>
      </c>
      <c r="E17" s="6" t="n">
        <v>4</v>
      </c>
      <c r="F17" s="6" t="inlineStr">
        <is>
          <t>是</t>
        </is>
      </c>
    </row>
    <row r="18">
      <c r="A18" s="6" t="inlineStr">
        <is>
          <t>C015</t>
        </is>
      </c>
      <c r="B18" s="6" t="inlineStr">
        <is>
          <t>R007</t>
        </is>
      </c>
      <c r="C18" s="6" t="inlineStr">
        <is>
          <t>2026H1</t>
        </is>
      </c>
      <c r="D18" s="19" t="inlineStr">
        <is>
          <t>第三方造价跟踪审计</t>
        </is>
      </c>
      <c r="E18" s="6" t="n">
        <v>3</v>
      </c>
      <c r="F18" s="6" t="inlineStr">
        <is>
          <t>否</t>
        </is>
      </c>
    </row>
    <row r="19">
      <c r="A19" s="6" t="inlineStr">
        <is>
          <t>C016</t>
        </is>
      </c>
      <c r="B19" s="6" t="inlineStr">
        <is>
          <t>R008</t>
        </is>
      </c>
      <c r="C19" s="6" t="inlineStr">
        <is>
          <t>2026H1</t>
        </is>
      </c>
      <c r="D19" s="19" t="inlineStr">
        <is>
          <t>双重预防机制数字化巡检</t>
        </is>
      </c>
      <c r="E19" s="6" t="n">
        <v>4</v>
      </c>
      <c r="F19" s="6" t="inlineStr">
        <is>
          <t>否</t>
        </is>
      </c>
    </row>
    <row r="20">
      <c r="A20" s="6" t="inlineStr">
        <is>
          <t>C017</t>
        </is>
      </c>
      <c r="B20" s="6" t="inlineStr">
        <is>
          <t>R008</t>
        </is>
      </c>
      <c r="C20" s="6" t="inlineStr">
        <is>
          <t>2026H1</t>
        </is>
      </c>
      <c r="D20" s="19" t="inlineStr">
        <is>
          <t>特种作业持证上岗核查</t>
        </is>
      </c>
      <c r="E20" s="6" t="n">
        <v>5</v>
      </c>
      <c r="F20" s="6" t="inlineStr">
        <is>
          <t>是</t>
        </is>
      </c>
    </row>
    <row r="21">
      <c r="A21" s="6" t="inlineStr">
        <is>
          <t>C018</t>
        </is>
      </c>
      <c r="B21" s="6" t="inlineStr">
        <is>
          <t>R009</t>
        </is>
      </c>
      <c r="C21" s="6" t="inlineStr">
        <is>
          <t>2026H1</t>
        </is>
      </c>
      <c r="D21" s="19" t="inlineStr">
        <is>
          <t>结算时限考核与付款比例上限</t>
        </is>
      </c>
      <c r="E21" s="6" t="n">
        <v>3</v>
      </c>
      <c r="F21" s="6" t="inlineStr">
        <is>
          <t>是</t>
        </is>
      </c>
    </row>
    <row r="22">
      <c r="A22" s="6" t="inlineStr">
        <is>
          <t>C019</t>
        </is>
      </c>
      <c r="B22" s="6" t="inlineStr">
        <is>
          <t>R010</t>
        </is>
      </c>
      <c r="C22" s="6" t="inlineStr">
        <is>
          <t>2026H1</t>
        </is>
      </c>
      <c r="D22" s="19" t="inlineStr">
        <is>
          <t>权限季度复核与离职当日回收</t>
        </is>
      </c>
      <c r="E22" s="6" t="n">
        <v>4</v>
      </c>
      <c r="F22" s="6" t="inlineStr">
        <is>
          <t>否</t>
        </is>
      </c>
    </row>
    <row r="23">
      <c r="A23" s="6" t="inlineStr">
        <is>
          <t>C020</t>
        </is>
      </c>
      <c r="B23" s="6" t="inlineStr">
        <is>
          <t>R010</t>
        </is>
      </c>
      <c r="C23" s="6" t="inlineStr">
        <is>
          <t>2026H1</t>
        </is>
      </c>
      <c r="D23" s="19" t="inlineStr">
        <is>
          <t>敏感操作日志独立审计</t>
        </is>
      </c>
      <c r="E23" s="6" t="n">
        <v>5</v>
      </c>
      <c r="F23" s="6" t="inlineStr">
        <is>
          <t>是</t>
        </is>
      </c>
    </row>
    <row r="24">
      <c r="A24" s="6" t="inlineStr">
        <is>
          <t>C021</t>
        </is>
      </c>
      <c r="B24" s="6" t="inlineStr">
        <is>
          <t>R010</t>
        </is>
      </c>
      <c r="C24" s="6" t="inlineStr">
        <is>
          <t>2026H1</t>
        </is>
      </c>
      <c r="D24" s="19" t="inlineStr">
        <is>
          <t>运维双因子认证</t>
        </is>
      </c>
      <c r="E24" s="6" t="n">
        <v>3</v>
      </c>
      <c r="F24" s="6" t="inlineStr">
        <is>
          <t>否</t>
        </is>
      </c>
    </row>
    <row r="25">
      <c r="A25" s="6" t="inlineStr">
        <is>
          <t>C022</t>
        </is>
      </c>
      <c r="B25" s="6" t="inlineStr">
        <is>
          <t>R011</t>
        </is>
      </c>
      <c r="C25" s="6" t="inlineStr">
        <is>
          <t>2026H1</t>
        </is>
      </c>
      <c r="D25" s="19" t="inlineStr">
        <is>
          <t>异地灾备双活改造</t>
        </is>
      </c>
      <c r="E25" s="6" t="n">
        <v>4</v>
      </c>
      <c r="F25" s="6" t="inlineStr">
        <is>
          <t>是</t>
        </is>
      </c>
    </row>
    <row r="26">
      <c r="A26" s="6" t="inlineStr">
        <is>
          <t>C023</t>
        </is>
      </c>
      <c r="B26" s="6" t="inlineStr">
        <is>
          <t>R011</t>
        </is>
      </c>
      <c r="C26" s="6" t="inlineStr">
        <is>
          <t>2026H1</t>
        </is>
      </c>
      <c r="D26" s="19" t="inlineStr">
        <is>
          <t>年度灾难恢复演练</t>
        </is>
      </c>
      <c r="E26" s="6" t="n">
        <v>3</v>
      </c>
      <c r="F26" s="6" t="inlineStr">
        <is>
          <t>否</t>
        </is>
      </c>
    </row>
    <row r="27">
      <c r="A27" s="6" t="inlineStr">
        <is>
          <t>C024</t>
        </is>
      </c>
      <c r="B27" s="6" t="inlineStr">
        <is>
          <t>R012</t>
        </is>
      </c>
      <c r="C27" s="6" t="inlineStr">
        <is>
          <t>2026H1</t>
        </is>
      </c>
      <c r="D27" s="19" t="inlineStr">
        <is>
          <t>态势感知平台与渗透测试</t>
        </is>
      </c>
      <c r="E27" s="6" t="n">
        <v>4</v>
      </c>
      <c r="F27" s="6" t="inlineStr">
        <is>
          <t>否</t>
        </is>
      </c>
    </row>
    <row r="28">
      <c r="A28" s="6" t="inlineStr">
        <is>
          <t>C025</t>
        </is>
      </c>
      <c r="B28" s="6" t="inlineStr">
        <is>
          <t>R012</t>
        </is>
      </c>
      <c r="C28" s="6" t="inlineStr">
        <is>
          <t>2026H1</t>
        </is>
      </c>
      <c r="D28" s="19" t="inlineStr">
        <is>
          <t>终端 EDR 全覆盖</t>
        </is>
      </c>
      <c r="E28" s="6" t="n">
        <v>2</v>
      </c>
      <c r="F28" s="6" t="inlineStr">
        <is>
          <t>是</t>
        </is>
      </c>
    </row>
    <row r="29">
      <c r="A29" s="6" t="inlineStr">
        <is>
          <t>C026</t>
        </is>
      </c>
      <c r="B29" s="6" t="inlineStr">
        <is>
          <t>R012</t>
        </is>
      </c>
      <c r="C29" s="6" t="inlineStr">
        <is>
          <t>2026H1</t>
        </is>
      </c>
      <c r="D29" s="19" t="inlineStr">
        <is>
          <t>应急预案桌面演练</t>
        </is>
      </c>
      <c r="E29" s="6" t="n">
        <v>3</v>
      </c>
      <c r="F29" s="6" t="inlineStr">
        <is>
          <t>否</t>
        </is>
      </c>
    </row>
    <row r="30">
      <c r="A30" s="6" t="inlineStr">
        <is>
          <t>C027</t>
        </is>
      </c>
      <c r="B30" s="6" t="inlineStr">
        <is>
          <t>R013</t>
        </is>
      </c>
      <c r="C30" s="6" t="inlineStr">
        <is>
          <t>2026H1</t>
        </is>
      </c>
      <c r="D30" s="19" t="inlineStr">
        <is>
          <t>关键岗位 AB 角与继任计划</t>
        </is>
      </c>
      <c r="E30" s="6" t="n">
        <v>2</v>
      </c>
      <c r="F30" s="6" t="inlineStr">
        <is>
          <t>是</t>
        </is>
      </c>
    </row>
    <row r="31">
      <c r="A31" s="6" t="inlineStr">
        <is>
          <t>C028</t>
        </is>
      </c>
      <c r="B31" s="6" t="inlineStr">
        <is>
          <t>R014</t>
        </is>
      </c>
      <c r="C31" s="6" t="inlineStr">
        <is>
          <t>2026H1</t>
        </is>
      </c>
      <c r="D31" s="19" t="inlineStr">
        <is>
          <t>入职背景调查与亲属申报</t>
        </is>
      </c>
      <c r="E31" s="6" t="n">
        <v>4</v>
      </c>
      <c r="F31" s="6" t="inlineStr">
        <is>
          <t>是</t>
        </is>
      </c>
    </row>
    <row r="32">
      <c r="A32" s="6" t="inlineStr">
        <is>
          <t>C029</t>
        </is>
      </c>
      <c r="B32" s="6" t="inlineStr">
        <is>
          <t>R015</t>
        </is>
      </c>
      <c r="C32" s="6" t="inlineStr">
        <is>
          <t>2026H1</t>
        </is>
      </c>
      <c r="D32" s="19" t="inlineStr">
        <is>
          <t>循环盘点与 ERP 条码管理</t>
        </is>
      </c>
      <c r="E32" s="6" t="n">
        <v>4</v>
      </c>
      <c r="F32" s="6" t="inlineStr">
        <is>
          <t>是</t>
        </is>
      </c>
    </row>
    <row r="33">
      <c r="A33" s="6" t="inlineStr">
        <is>
          <t>C030</t>
        </is>
      </c>
      <c r="B33" s="6" t="inlineStr">
        <is>
          <t>R016</t>
        </is>
      </c>
      <c r="C33" s="6" t="inlineStr">
        <is>
          <t>2026H1</t>
        </is>
      </c>
      <c r="D33" s="19" t="inlineStr">
        <is>
          <t>投资项目后评价制度</t>
        </is>
      </c>
      <c r="E33" s="6" t="n">
        <v>3</v>
      </c>
      <c r="F33" s="6" t="inlineStr">
        <is>
          <t>是</t>
        </is>
      </c>
    </row>
    <row r="34">
      <c r="A34" s="6" t="inlineStr">
        <is>
          <t>C031</t>
        </is>
      </c>
      <c r="B34" s="6" t="inlineStr">
        <is>
          <t>R017</t>
        </is>
      </c>
      <c r="C34" s="6" t="inlineStr">
        <is>
          <t>2026H1</t>
        </is>
      </c>
      <c r="D34" s="19" t="inlineStr">
        <is>
          <t>投资决策议事规则与可研复核</t>
        </is>
      </c>
      <c r="E34" s="6" t="n">
        <v>3</v>
      </c>
      <c r="F34" s="6" t="inlineStr">
        <is>
          <t>是</t>
        </is>
      </c>
    </row>
    <row r="35">
      <c r="A35" s="6" t="inlineStr">
        <is>
          <t>C032</t>
        </is>
      </c>
      <c r="B35" s="6" t="inlineStr">
        <is>
          <t>R018</t>
        </is>
      </c>
      <c r="C35" s="6" t="inlineStr">
        <is>
          <t>2026H1</t>
        </is>
      </c>
      <c r="D35" s="19" t="inlineStr">
        <is>
          <t>“三重一大”事项清单化与决策督办</t>
        </is>
      </c>
      <c r="E35" s="6" t="n">
        <v>4</v>
      </c>
      <c r="F35" s="6" t="inlineStr">
        <is>
          <t>是</t>
        </is>
      </c>
    </row>
    <row r="36">
      <c r="A36" s="6" t="inlineStr">
        <is>
          <t>C033</t>
        </is>
      </c>
      <c r="B36" s="6" t="inlineStr">
        <is>
          <t>R019</t>
        </is>
      </c>
      <c r="C36" s="6" t="inlineStr">
        <is>
          <t>2026H1</t>
        </is>
      </c>
      <c r="D36" s="19" t="inlineStr">
        <is>
          <t>年度税务健康检查</t>
        </is>
      </c>
      <c r="E36" s="6" t="n">
        <v>4</v>
      </c>
      <c r="F36" s="6" t="inlineStr">
        <is>
          <t>是</t>
        </is>
      </c>
    </row>
    <row r="37">
      <c r="A37" s="6" t="inlineStr">
        <is>
          <t>C034</t>
        </is>
      </c>
      <c r="B37" s="6" t="inlineStr">
        <is>
          <t>R020</t>
        </is>
      </c>
      <c r="C37" s="6" t="inlineStr">
        <is>
          <t>2026H1</t>
        </is>
      </c>
      <c r="D37" s="19" t="inlineStr">
        <is>
          <t>合同履约台账与预警</t>
        </is>
      </c>
      <c r="E37" s="6" t="n">
        <v>3</v>
      </c>
      <c r="F37" s="6" t="inlineStr">
        <is>
          <t>是</t>
        </is>
      </c>
    </row>
    <row r="38">
      <c r="A38" s="6" t="inlineStr">
        <is>
          <t>C035</t>
        </is>
      </c>
      <c r="B38" s="6" t="inlineStr">
        <is>
          <t>R021</t>
        </is>
      </c>
      <c r="C38" s="6" t="inlineStr">
        <is>
          <t>2026H1</t>
        </is>
      </c>
      <c r="D38" s="19" t="inlineStr">
        <is>
          <t>外包商准入评价与季度考核</t>
        </is>
      </c>
      <c r="E38" s="6" t="n">
        <v>3</v>
      </c>
      <c r="F38" s="6" t="inlineStr">
        <is>
          <t>是</t>
        </is>
      </c>
    </row>
    <row r="39">
      <c r="A39" s="6" t="inlineStr">
        <is>
          <t>C036</t>
        </is>
      </c>
      <c r="B39" s="6" t="inlineStr">
        <is>
          <t>R022</t>
        </is>
      </c>
      <c r="C39" s="6" t="inlineStr">
        <is>
          <t>2026H1</t>
        </is>
      </c>
      <c r="D39" s="19" t="inlineStr">
        <is>
          <t>个人信息保护影响评估</t>
        </is>
      </c>
      <c r="E39" s="6" t="n">
        <v>3</v>
      </c>
      <c r="F39" s="6" t="inlineStr">
        <is>
          <t>否</t>
        </is>
      </c>
    </row>
    <row r="40">
      <c r="A40" s="6" t="inlineStr">
        <is>
          <t>C037</t>
        </is>
      </c>
      <c r="B40" s="6" t="inlineStr">
        <is>
          <t>R022</t>
        </is>
      </c>
      <c r="C40" s="6" t="inlineStr">
        <is>
          <t>2026H1</t>
        </is>
      </c>
      <c r="D40" s="19" t="inlineStr">
        <is>
          <t>数据分类分级与出境评估</t>
        </is>
      </c>
      <c r="E40" s="6" t="n">
        <v>4</v>
      </c>
      <c r="F40" s="6" t="inlineStr">
        <is>
          <t>是</t>
        </is>
      </c>
    </row>
    <row r="41">
      <c r="A41" s="6" t="inlineStr">
        <is>
          <t>C038</t>
        </is>
      </c>
      <c r="B41" s="6" t="inlineStr">
        <is>
          <t>R023</t>
        </is>
      </c>
      <c r="C41" s="6" t="inlineStr">
        <is>
          <t>2026H1</t>
        </is>
      </c>
      <c r="D41" s="19" t="inlineStr">
        <is>
          <t>排放在线监测联网</t>
        </is>
      </c>
      <c r="E41" s="6" t="n">
        <v>4</v>
      </c>
      <c r="F41" s="6" t="inlineStr">
        <is>
          <t>是</t>
        </is>
      </c>
    </row>
    <row r="42">
      <c r="A42" s="6" t="inlineStr">
        <is>
          <t>C039</t>
        </is>
      </c>
      <c r="B42" s="6" t="inlineStr">
        <is>
          <t>R024</t>
        </is>
      </c>
      <c r="C42" s="6" t="inlineStr">
        <is>
          <t>2026H1</t>
        </is>
      </c>
      <c r="D42" s="19" t="inlineStr">
        <is>
          <t>账户年检与票据台账</t>
        </is>
      </c>
      <c r="E42" s="6" t="n">
        <v>4</v>
      </c>
      <c r="F42" s="6" t="inlineStr">
        <is>
          <t>是</t>
        </is>
      </c>
    </row>
    <row r="43">
      <c r="A43" s="6" t="inlineStr">
        <is>
          <t>C040</t>
        </is>
      </c>
      <c r="B43" s="6" t="inlineStr">
        <is>
          <t>R001</t>
        </is>
      </c>
      <c r="C43" s="6" t="inlineStr">
        <is>
          <t>2025H2</t>
        </is>
      </c>
      <c r="D43" s="19" t="inlineStr">
        <is>
          <t>人工抽查报销单据</t>
        </is>
      </c>
      <c r="E43" s="6" t="n">
        <v>2</v>
      </c>
      <c r="F43" s="6" t="inlineStr">
        <is>
          <t>是</t>
        </is>
      </c>
    </row>
    <row r="44">
      <c r="A44" s="6" t="inlineStr">
        <is>
          <t>C041</t>
        </is>
      </c>
      <c r="B44" s="6" t="inlineStr">
        <is>
          <t>R002</t>
        </is>
      </c>
      <c r="C44" s="6" t="inlineStr">
        <is>
          <t>2025H2</t>
        </is>
      </c>
      <c r="D44" s="19" t="inlineStr">
        <is>
          <t>手工收入核对表</t>
        </is>
      </c>
      <c r="E44" s="6" t="n">
        <v>2</v>
      </c>
      <c r="F44" s="6" t="inlineStr">
        <is>
          <t>是</t>
        </is>
      </c>
    </row>
    <row r="45">
      <c r="A45" s="6" t="inlineStr">
        <is>
          <t>C042</t>
        </is>
      </c>
      <c r="B45" s="6" t="inlineStr">
        <is>
          <t>R003</t>
        </is>
      </c>
      <c r="C45" s="6" t="inlineStr">
        <is>
          <t>2025H2</t>
        </is>
      </c>
      <c r="D45" s="19" t="inlineStr">
        <is>
          <t>纸质审批单流转</t>
        </is>
      </c>
      <c r="E45" s="6" t="n">
        <v>2</v>
      </c>
      <c r="F45" s="6" t="inlineStr">
        <is>
          <t>是</t>
        </is>
      </c>
    </row>
    <row r="46">
      <c r="A46" s="6" t="inlineStr">
        <is>
          <t>C043</t>
        </is>
      </c>
      <c r="B46" s="6" t="inlineStr">
        <is>
          <t>R004</t>
        </is>
      </c>
      <c r="C46" s="6" t="inlineStr">
        <is>
          <t>2025H2</t>
        </is>
      </c>
      <c r="D46" s="19" t="inlineStr">
        <is>
          <t>供应商资质人工审查</t>
        </is>
      </c>
      <c r="E46" s="6" t="n">
        <v>2</v>
      </c>
      <c r="F46" s="6" t="inlineStr">
        <is>
          <t>是</t>
        </is>
      </c>
    </row>
    <row r="47">
      <c r="A47" s="6" t="inlineStr">
        <is>
          <t>C044</t>
        </is>
      </c>
      <c r="B47" s="6" t="inlineStr">
        <is>
          <t>R005</t>
        </is>
      </c>
      <c r="C47" s="6" t="inlineStr">
        <is>
          <t>2025H2</t>
        </is>
      </c>
      <c r="D47" s="19" t="inlineStr">
        <is>
          <t>法务事后补审</t>
        </is>
      </c>
      <c r="E47" s="6" t="n">
        <v>2</v>
      </c>
      <c r="F47" s="6" t="inlineStr">
        <is>
          <t>是</t>
        </is>
      </c>
    </row>
    <row r="48">
      <c r="A48" s="6" t="inlineStr">
        <is>
          <t>C045</t>
        </is>
      </c>
      <c r="B48" s="6" t="inlineStr">
        <is>
          <t>R006</t>
        </is>
      </c>
      <c r="C48" s="6" t="inlineStr">
        <is>
          <t>2025H2</t>
        </is>
      </c>
      <c r="D48" s="19" t="inlineStr">
        <is>
          <t>单人签字验收</t>
        </is>
      </c>
      <c r="E48" s="6" t="n">
        <v>2</v>
      </c>
      <c r="F48" s="6" t="inlineStr">
        <is>
          <t>是</t>
        </is>
      </c>
    </row>
    <row r="49">
      <c r="A49" s="6" t="inlineStr">
        <is>
          <t>C046</t>
        </is>
      </c>
      <c r="B49" s="6" t="inlineStr">
        <is>
          <t>R007</t>
        </is>
      </c>
      <c r="C49" s="6" t="inlineStr">
        <is>
          <t>2025H2</t>
        </is>
      </c>
      <c r="D49" s="19" t="inlineStr">
        <is>
          <t>变更口头审批</t>
        </is>
      </c>
      <c r="E49" s="6" t="n">
        <v>2</v>
      </c>
      <c r="F49" s="6" t="inlineStr">
        <is>
          <t>是</t>
        </is>
      </c>
    </row>
    <row r="50">
      <c r="A50" s="6" t="inlineStr">
        <is>
          <t>C047</t>
        </is>
      </c>
      <c r="B50" s="6" t="inlineStr">
        <is>
          <t>R008</t>
        </is>
      </c>
      <c r="C50" s="6" t="inlineStr">
        <is>
          <t>2025H2</t>
        </is>
      </c>
      <c r="D50" s="19" t="inlineStr">
        <is>
          <t>安全例会宣贯</t>
        </is>
      </c>
      <c r="E50" s="6" t="n">
        <v>2</v>
      </c>
      <c r="F50" s="6" t="inlineStr">
        <is>
          <t>是</t>
        </is>
      </c>
    </row>
    <row r="51">
      <c r="A51" s="6" t="inlineStr">
        <is>
          <t>C048</t>
        </is>
      </c>
      <c r="B51" s="6" t="inlineStr">
        <is>
          <t>R009</t>
        </is>
      </c>
      <c r="C51" s="6" t="inlineStr">
        <is>
          <t>2025H2</t>
        </is>
      </c>
      <c r="D51" s="19" t="inlineStr">
        <is>
          <t>结算资料催办</t>
        </is>
      </c>
      <c r="E51" s="6" t="n">
        <v>2</v>
      </c>
      <c r="F51" s="6" t="inlineStr">
        <is>
          <t>是</t>
        </is>
      </c>
    </row>
    <row r="52">
      <c r="A52" s="6" t="inlineStr">
        <is>
          <t>C049</t>
        </is>
      </c>
      <c r="B52" s="6" t="inlineStr">
        <is>
          <t>R010</t>
        </is>
      </c>
      <c r="C52" s="6" t="inlineStr">
        <is>
          <t>2025H2</t>
        </is>
      </c>
      <c r="D52" s="19" t="inlineStr">
        <is>
          <t>年度一次权限梳理</t>
        </is>
      </c>
      <c r="E52" s="6" t="n">
        <v>2</v>
      </c>
      <c r="F52" s="6" t="inlineStr">
        <is>
          <t>是</t>
        </is>
      </c>
    </row>
    <row r="53">
      <c r="A53" s="6" t="inlineStr">
        <is>
          <t>C050</t>
        </is>
      </c>
      <c r="B53" s="6" t="inlineStr">
        <is>
          <t>R011</t>
        </is>
      </c>
      <c r="C53" s="6" t="inlineStr">
        <is>
          <t>2025H2</t>
        </is>
      </c>
      <c r="D53" s="19" t="inlineStr">
        <is>
          <t>本地磁带备份</t>
        </is>
      </c>
      <c r="E53" s="6" t="n">
        <v>2</v>
      </c>
      <c r="F53" s="6" t="inlineStr">
        <is>
          <t>是</t>
        </is>
      </c>
    </row>
    <row r="54">
      <c r="A54" s="6" t="inlineStr">
        <is>
          <t>C051</t>
        </is>
      </c>
      <c r="B54" s="6" t="inlineStr">
        <is>
          <t>R012</t>
        </is>
      </c>
      <c r="C54" s="6" t="inlineStr">
        <is>
          <t>2025H2</t>
        </is>
      </c>
      <c r="D54" s="19" t="inlineStr">
        <is>
          <t>边界防火墙防护</t>
        </is>
      </c>
      <c r="E54" s="6" t="n">
        <v>2</v>
      </c>
      <c r="F54" s="6" t="inlineStr">
        <is>
          <t>是</t>
        </is>
      </c>
    </row>
    <row r="55">
      <c r="A55" s="6" t="inlineStr">
        <is>
          <t>C052</t>
        </is>
      </c>
      <c r="B55" s="6" t="inlineStr">
        <is>
          <t>R013</t>
        </is>
      </c>
      <c r="C55" s="6" t="inlineStr">
        <is>
          <t>2025H2</t>
        </is>
      </c>
      <c r="D55" s="19" t="inlineStr">
        <is>
          <t>外部招聘渠道补充</t>
        </is>
      </c>
      <c r="E55" s="6" t="n">
        <v>3</v>
      </c>
      <c r="F55" s="6" t="inlineStr">
        <is>
          <t>是</t>
        </is>
      </c>
    </row>
    <row r="56">
      <c r="A56" s="6" t="inlineStr">
        <is>
          <t>C053</t>
        </is>
      </c>
      <c r="B56" s="6" t="inlineStr">
        <is>
          <t>R014</t>
        </is>
      </c>
      <c r="C56" s="6" t="inlineStr">
        <is>
          <t>2025H2</t>
        </is>
      </c>
      <c r="D56" s="19" t="inlineStr">
        <is>
          <t>入职登记表自查</t>
        </is>
      </c>
      <c r="E56" s="6" t="n">
        <v>2</v>
      </c>
      <c r="F56" s="6" t="inlineStr">
        <is>
          <t>是</t>
        </is>
      </c>
    </row>
    <row r="57">
      <c r="A57" s="6" t="inlineStr">
        <is>
          <t>C054</t>
        </is>
      </c>
      <c r="B57" s="6" t="inlineStr">
        <is>
          <t>R015</t>
        </is>
      </c>
      <c r="C57" s="6" t="inlineStr">
        <is>
          <t>2025H2</t>
        </is>
      </c>
      <c r="D57" s="19" t="inlineStr">
        <is>
          <t>年度全面盘点</t>
        </is>
      </c>
      <c r="E57" s="6" t="n">
        <v>2</v>
      </c>
      <c r="F57" s="6" t="inlineStr">
        <is>
          <t>是</t>
        </is>
      </c>
    </row>
    <row r="58">
      <c r="A58" s="6" t="inlineStr">
        <is>
          <t>C055</t>
        </is>
      </c>
      <c r="B58" s="6" t="inlineStr">
        <is>
          <t>R016</t>
        </is>
      </c>
      <c r="C58" s="6" t="inlineStr">
        <is>
          <t>2025H2</t>
        </is>
      </c>
      <c r="D58" s="19" t="inlineStr">
        <is>
          <t>闲置设备台账登记</t>
        </is>
      </c>
      <c r="E58" s="6" t="n">
        <v>2</v>
      </c>
      <c r="F58" s="6" t="inlineStr">
        <is>
          <t>是</t>
        </is>
      </c>
    </row>
    <row r="59">
      <c r="A59" s="6" t="inlineStr">
        <is>
          <t>C056</t>
        </is>
      </c>
      <c r="B59" s="6" t="inlineStr">
        <is>
          <t>R017</t>
        </is>
      </c>
      <c r="C59" s="6" t="inlineStr">
        <is>
          <t>2025H2</t>
        </is>
      </c>
      <c r="D59" s="19" t="inlineStr">
        <is>
          <t>投资决策口头意见居多</t>
        </is>
      </c>
      <c r="E59" s="6" t="n">
        <v>2</v>
      </c>
      <c r="F59" s="6" t="inlineStr">
        <is>
          <t>是</t>
        </is>
      </c>
    </row>
    <row r="60">
      <c r="A60" s="6" t="inlineStr">
        <is>
          <t>C057</t>
        </is>
      </c>
      <c r="B60" s="6" t="inlineStr">
        <is>
          <t>R018</t>
        </is>
      </c>
      <c r="C60" s="6" t="inlineStr">
        <is>
          <t>2025H2</t>
        </is>
      </c>
      <c r="D60" s="19" t="inlineStr">
        <is>
          <t>决策事项事后补记</t>
        </is>
      </c>
      <c r="E60" s="6" t="n">
        <v>2</v>
      </c>
      <c r="F60" s="6" t="inlineStr">
        <is>
          <t>是</t>
        </is>
      </c>
    </row>
    <row r="61">
      <c r="A61" s="6" t="inlineStr">
        <is>
          <t>C058</t>
        </is>
      </c>
      <c r="B61" s="6" t="inlineStr">
        <is>
          <t>R019</t>
        </is>
      </c>
      <c r="C61" s="6" t="inlineStr">
        <is>
          <t>2025H2</t>
        </is>
      </c>
      <c r="D61" s="19" t="inlineStr">
        <is>
          <t>申报数据人工复核</t>
        </is>
      </c>
      <c r="E61" s="6" t="n">
        <v>2</v>
      </c>
      <c r="F61" s="6" t="inlineStr">
        <is>
          <t>是</t>
        </is>
      </c>
    </row>
    <row r="62">
      <c r="A62" s="6" t="inlineStr">
        <is>
          <t>C059</t>
        </is>
      </c>
      <c r="B62" s="6" t="inlineStr">
        <is>
          <t>R020</t>
        </is>
      </c>
      <c r="C62" s="6" t="inlineStr">
        <is>
          <t>2025H2</t>
        </is>
      </c>
      <c r="D62" s="19" t="inlineStr">
        <is>
          <t>合同纸质台账</t>
        </is>
      </c>
      <c r="E62" s="6" t="n">
        <v>2</v>
      </c>
      <c r="F62" s="6" t="inlineStr">
        <is>
          <t>是</t>
        </is>
      </c>
    </row>
    <row r="63">
      <c r="A63" s="6" t="inlineStr">
        <is>
          <t>C060</t>
        </is>
      </c>
      <c r="B63" s="6" t="inlineStr">
        <is>
          <t>R021</t>
        </is>
      </c>
      <c r="C63" s="6" t="inlineStr">
        <is>
          <t>2025H2</t>
        </is>
      </c>
      <c r="D63" s="19" t="inlineStr">
        <is>
          <t>外包商资质一次性审查</t>
        </is>
      </c>
      <c r="E63" s="6" t="n">
        <v>2</v>
      </c>
      <c r="F63" s="6" t="inlineStr">
        <is>
          <t>是</t>
        </is>
      </c>
    </row>
    <row r="64">
      <c r="A64" s="6" t="inlineStr">
        <is>
          <t>C061</t>
        </is>
      </c>
      <c r="B64" s="6" t="inlineStr">
        <is>
          <t>R022</t>
        </is>
      </c>
      <c r="C64" s="6" t="inlineStr">
        <is>
          <t>2025H2</t>
        </is>
      </c>
      <c r="D64" s="19" t="inlineStr">
        <is>
          <t>隐私政策公示</t>
        </is>
      </c>
      <c r="E64" s="6" t="n">
        <v>2</v>
      </c>
      <c r="F64" s="6" t="inlineStr">
        <is>
          <t>是</t>
        </is>
      </c>
    </row>
    <row r="65">
      <c r="A65" s="6" t="inlineStr">
        <is>
          <t>C062</t>
        </is>
      </c>
      <c r="B65" s="6" t="inlineStr">
        <is>
          <t>R023</t>
        </is>
      </c>
      <c r="C65" s="6" t="inlineStr">
        <is>
          <t>2025H2</t>
        </is>
      </c>
      <c r="D65" s="19" t="inlineStr">
        <is>
          <t>人工填报排放数据</t>
        </is>
      </c>
      <c r="E65" s="6" t="n">
        <v>2</v>
      </c>
      <c r="F65" s="6" t="inlineStr">
        <is>
          <t>是</t>
        </is>
      </c>
    </row>
    <row r="66">
      <c r="A66" s="6" t="inlineStr">
        <is>
          <t>C063</t>
        </is>
      </c>
      <c r="B66" s="6" t="inlineStr">
        <is>
          <t>R024</t>
        </is>
      </c>
      <c r="C66" s="6" t="inlineStr">
        <is>
          <t>2025H2</t>
        </is>
      </c>
      <c r="D66" s="19" t="inlineStr">
        <is>
          <t>账户手工登记簿</t>
        </is>
      </c>
      <c r="E66" s="6" t="n">
        <v>2</v>
      </c>
      <c r="F66" s="6" t="inlineStr">
        <is>
          <t>是</t>
        </is>
      </c>
    </row>
  </sheetData>
  <dataValidations count="4">
    <dataValidation sqref="E4:E153" showDropDown="0" showInputMessage="0" showErrorMessage="0" allowBlank="1" errorTitle="评分超出范围" error="请输入 1~5 的整数" type="whole" operator="between">
      <formula1>1</formula1>
      <formula2>5</formula2>
    </dataValidation>
    <dataValidation sqref="B4:B153" showDropDown="0" showInputMessage="0" showErrorMessage="0" allowBlank="1" errorTitle="编号无效" error="请选择登记册中已有的风险编号" type="list">
      <formula1>=风险登记册!$A$4:$A$203</formula1>
    </dataValidation>
    <dataValidation sqref="C4:C153" showDropDown="0" showInputMessage="0" showErrorMessage="0" allowBlank="1" errorTitle="期间无效" error="请从下拉列表选择（期间清单在参数配置页 I 列维护）" type="list">
      <formula1>=参数配置!$I$3:$I$8</formula1>
    </dataValidation>
    <dataValidation sqref="F4:F153" showDropDown="0" showInputMessage="0" showErrorMessage="0" allowBlank="1" errorTitle="取值无效" error="请选择 是 或 否" type="list">
      <formula1>"是,否"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风险热力图（可能性 × 综合影响）</t>
        </is>
      </c>
    </row>
    <row r="3">
      <c r="B3" t="inlineStr">
        <is>
          <t>评估期间筛选：</t>
        </is>
      </c>
      <c r="C3" s="22" t="inlineStr">
        <is>
          <t>2026H1</t>
        </is>
      </c>
    </row>
    <row r="5">
      <c r="B5" s="2" t="inlineStr">
        <is>
          <t>① 固有热力图 —— 格内数字为落入该格的风险数量</t>
        </is>
      </c>
    </row>
    <row r="6">
      <c r="B6" s="23" t="inlineStr">
        <is>
          <t>可能性＼影响</t>
        </is>
      </c>
      <c r="C6" s="5" t="n">
        <v>1</v>
      </c>
      <c r="D6" s="5" t="n">
        <v>2</v>
      </c>
      <c r="E6" s="5" t="n">
        <v>3</v>
      </c>
      <c r="F6" s="5" t="n">
        <v>4</v>
      </c>
      <c r="G6" s="5" t="n">
        <v>5</v>
      </c>
    </row>
    <row r="7">
      <c r="B7" s="24" t="n">
        <v>5</v>
      </c>
      <c r="C7" s="25">
        <f>COUNTIFS(风险登记册!$F$4:$F$203,IF($C$3="全部","&lt;&gt;",$C$3),风险登记册!$G$4:$G$203,$B7,风险登记册!$S$4:$S$203,C$6)</f>
        <v/>
      </c>
      <c r="D7" s="26">
        <f>COUNTIFS(风险登记册!$F$4:$F$203,IF($C$3="全部","&lt;&gt;",$C$3),风险登记册!$G$4:$G$203,$B7,风险登记册!$S$4:$S$203,D$6)</f>
        <v/>
      </c>
      <c r="E7" s="27">
        <f>COUNTIFS(风险登记册!$F$4:$F$203,IF($C$3="全部","&lt;&gt;",$C$3),风险登记册!$G$4:$G$203,$B7,风险登记册!$S$4:$S$203,E$6)</f>
        <v/>
      </c>
      <c r="F7" s="28">
        <f>COUNTIFS(风险登记册!$F$4:$F$203,IF($C$3="全部","&lt;&gt;",$C$3),风险登记册!$G$4:$G$203,$B7,风险登记册!$S$4:$S$203,F$6)</f>
        <v/>
      </c>
      <c r="G7" s="28">
        <f>COUNTIFS(风险登记册!$F$4:$F$203,IF($C$3="全部","&lt;&gt;",$C$3),风险登记册!$G$4:$G$203,$B7,风险登记册!$S$4:$S$203,G$6)</f>
        <v/>
      </c>
    </row>
    <row r="8">
      <c r="B8" s="24" t="n">
        <v>4</v>
      </c>
      <c r="C8" s="25">
        <f>COUNTIFS(风险登记册!$F$4:$F$203,IF($C$3="全部","&lt;&gt;",$C$3),风险登记册!$G$4:$G$203,$B8,风险登记册!$S$4:$S$203,C$6)</f>
        <v/>
      </c>
      <c r="D8" s="26">
        <f>COUNTIFS(风险登记册!$F$4:$F$203,IF($C$3="全部","&lt;&gt;",$C$3),风险登记册!$G$4:$G$203,$B8,风险登记册!$S$4:$S$203,D$6)</f>
        <v/>
      </c>
      <c r="E8" s="27">
        <f>COUNTIFS(风险登记册!$F$4:$F$203,IF($C$3="全部","&lt;&gt;",$C$3),风险登记册!$G$4:$G$203,$B8,风险登记册!$S$4:$S$203,E$6)</f>
        <v/>
      </c>
      <c r="F8" s="27">
        <f>COUNTIFS(风险登记册!$F$4:$F$203,IF($C$3="全部","&lt;&gt;",$C$3),风险登记册!$G$4:$G$203,$B8,风险登记册!$S$4:$S$203,F$6)</f>
        <v/>
      </c>
      <c r="G8" s="28">
        <f>COUNTIFS(风险登记册!$F$4:$F$203,IF($C$3="全部","&lt;&gt;",$C$3),风险登记册!$G$4:$G$203,$B8,风险登记册!$S$4:$S$203,G$6)</f>
        <v/>
      </c>
    </row>
    <row r="9">
      <c r="B9" s="24" t="n">
        <v>3</v>
      </c>
      <c r="C9" s="25">
        <f>COUNTIFS(风险登记册!$F$4:$F$203,IF($C$3="全部","&lt;&gt;",$C$3),风险登记册!$G$4:$G$203,$B9,风险登记册!$S$4:$S$203,C$6)</f>
        <v/>
      </c>
      <c r="D9" s="26">
        <f>COUNTIFS(风险登记册!$F$4:$F$203,IF($C$3="全部","&lt;&gt;",$C$3),风险登记册!$G$4:$G$203,$B9,风险登记册!$S$4:$S$203,D$6)</f>
        <v/>
      </c>
      <c r="E9" s="26">
        <f>COUNTIFS(风险登记册!$F$4:$F$203,IF($C$3="全部","&lt;&gt;",$C$3),风险登记册!$G$4:$G$203,$B9,风险登记册!$S$4:$S$203,E$6)</f>
        <v/>
      </c>
      <c r="F9" s="27">
        <f>COUNTIFS(风险登记册!$F$4:$F$203,IF($C$3="全部","&lt;&gt;",$C$3),风险登记册!$G$4:$G$203,$B9,风险登记册!$S$4:$S$203,F$6)</f>
        <v/>
      </c>
      <c r="G9" s="27">
        <f>COUNTIFS(风险登记册!$F$4:$F$203,IF($C$3="全部","&lt;&gt;",$C$3),风险登记册!$G$4:$G$203,$B9,风险登记册!$S$4:$S$203,G$6)</f>
        <v/>
      </c>
    </row>
    <row r="10">
      <c r="B10" s="24" t="n">
        <v>2</v>
      </c>
      <c r="C10" s="29">
        <f>COUNTIFS(风险登记册!$F$4:$F$203,IF($C$3="全部","&lt;&gt;",$C$3),风险登记册!$G$4:$G$203,$B10,风险登记册!$S$4:$S$203,C$6)</f>
        <v/>
      </c>
      <c r="D10" s="25">
        <f>COUNTIFS(风险登记册!$F$4:$F$203,IF($C$3="全部","&lt;&gt;",$C$3),风险登记册!$G$4:$G$203,$B10,风险登记册!$S$4:$S$203,D$6)</f>
        <v/>
      </c>
      <c r="E10" s="26">
        <f>COUNTIFS(风险登记册!$F$4:$F$203,IF($C$3="全部","&lt;&gt;",$C$3),风险登记册!$G$4:$G$203,$B10,风险登记册!$S$4:$S$203,E$6)</f>
        <v/>
      </c>
      <c r="F10" s="26">
        <f>COUNTIFS(风险登记册!$F$4:$F$203,IF($C$3="全部","&lt;&gt;",$C$3),风险登记册!$G$4:$G$203,$B10,风险登记册!$S$4:$S$203,F$6)</f>
        <v/>
      </c>
      <c r="G10" s="26">
        <f>COUNTIFS(风险登记册!$F$4:$F$203,IF($C$3="全部","&lt;&gt;",$C$3),风险登记册!$G$4:$G$203,$B10,风险登记册!$S$4:$S$203,G$6)</f>
        <v/>
      </c>
    </row>
    <row r="11">
      <c r="B11" s="24" t="n">
        <v>1</v>
      </c>
      <c r="C11" s="29">
        <f>COUNTIFS(风险登记册!$F$4:$F$203,IF($C$3="全部","&lt;&gt;",$C$3),风险登记册!$G$4:$G$203,$B11,风险登记册!$S$4:$S$203,C$6)</f>
        <v/>
      </c>
      <c r="D11" s="29">
        <f>COUNTIFS(风险登记册!$F$4:$F$203,IF($C$3="全部","&lt;&gt;",$C$3),风险登记册!$G$4:$G$203,$B11,风险登记册!$S$4:$S$203,D$6)</f>
        <v/>
      </c>
      <c r="E11" s="25">
        <f>COUNTIFS(风险登记册!$F$4:$F$203,IF($C$3="全部","&lt;&gt;",$C$3),风险登记册!$G$4:$G$203,$B11,风险登记册!$S$4:$S$203,E$6)</f>
        <v/>
      </c>
      <c r="F11" s="25">
        <f>COUNTIFS(风险登记册!$F$4:$F$203,IF($C$3="全部","&lt;&gt;",$C$3),风险登记册!$G$4:$G$203,$B11,风险登记册!$S$4:$S$203,F$6)</f>
        <v/>
      </c>
      <c r="G11" s="25">
        <f>COUNTIFS(风险登记册!$F$4:$F$203,IF($C$3="全部","&lt;&gt;",$C$3),风险登记册!$G$4:$G$203,$B11,风险登记册!$S$4:$S$203,G$6)</f>
        <v/>
      </c>
    </row>
    <row r="13">
      <c r="B13" s="2" t="inlineStr">
        <is>
          <t>② 剩余热力图 —— 格内数字为该位置风险的剩余分均值（底色按均值联动阈值）</t>
        </is>
      </c>
    </row>
    <row r="14">
      <c r="B14" s="23" t="inlineStr">
        <is>
          <t>可能性＼影响</t>
        </is>
      </c>
      <c r="C14" s="5" t="n">
        <v>1</v>
      </c>
      <c r="D14" s="5" t="n">
        <v>2</v>
      </c>
      <c r="E14" s="5" t="n">
        <v>3</v>
      </c>
      <c r="F14" s="5" t="n">
        <v>4</v>
      </c>
      <c r="G14" s="5" t="n">
        <v>5</v>
      </c>
    </row>
    <row r="15">
      <c r="B15" s="24" t="n">
        <v>5</v>
      </c>
      <c r="C15" s="30">
        <f>IFERROR(AVERAGEIFS(风险登记册!$Q$4:$Q$203,风险登记册!$F$4:$F$203,IF($C$3="全部","&lt;&gt;",$C$3),风险登记册!$G$4:$G$203,$B15,风险登记册!$S$4:$S$203,C$14),"")</f>
        <v/>
      </c>
      <c r="D15" s="30">
        <f>IFERROR(AVERAGEIFS(风险登记册!$Q$4:$Q$203,风险登记册!$F$4:$F$203,IF($C$3="全部","&lt;&gt;",$C$3),风险登记册!$G$4:$G$203,$B15,风险登记册!$S$4:$S$203,D$14),"")</f>
        <v/>
      </c>
      <c r="E15" s="30">
        <f>IFERROR(AVERAGEIFS(风险登记册!$Q$4:$Q$203,风险登记册!$F$4:$F$203,IF($C$3="全部","&lt;&gt;",$C$3),风险登记册!$G$4:$G$203,$B15,风险登记册!$S$4:$S$203,E$14),"")</f>
        <v/>
      </c>
      <c r="F15" s="30">
        <f>IFERROR(AVERAGEIFS(风险登记册!$Q$4:$Q$203,风险登记册!$F$4:$F$203,IF($C$3="全部","&lt;&gt;",$C$3),风险登记册!$G$4:$G$203,$B15,风险登记册!$S$4:$S$203,F$14),"")</f>
        <v/>
      </c>
      <c r="G15" s="30">
        <f>IFERROR(AVERAGEIFS(风险登记册!$Q$4:$Q$203,风险登记册!$F$4:$F$203,IF($C$3="全部","&lt;&gt;",$C$3),风险登记册!$G$4:$G$203,$B15,风险登记册!$S$4:$S$203,G$14),"")</f>
        <v/>
      </c>
    </row>
    <row r="16">
      <c r="B16" s="24" t="n">
        <v>4</v>
      </c>
      <c r="C16" s="30">
        <f>IFERROR(AVERAGEIFS(风险登记册!$Q$4:$Q$203,风险登记册!$F$4:$F$203,IF($C$3="全部","&lt;&gt;",$C$3),风险登记册!$G$4:$G$203,$B16,风险登记册!$S$4:$S$203,C$14),"")</f>
        <v/>
      </c>
      <c r="D16" s="30">
        <f>IFERROR(AVERAGEIFS(风险登记册!$Q$4:$Q$203,风险登记册!$F$4:$F$203,IF($C$3="全部","&lt;&gt;",$C$3),风险登记册!$G$4:$G$203,$B16,风险登记册!$S$4:$S$203,D$14),"")</f>
        <v/>
      </c>
      <c r="E16" s="30">
        <f>IFERROR(AVERAGEIFS(风险登记册!$Q$4:$Q$203,风险登记册!$F$4:$F$203,IF($C$3="全部","&lt;&gt;",$C$3),风险登记册!$G$4:$G$203,$B16,风险登记册!$S$4:$S$203,E$14),"")</f>
        <v/>
      </c>
      <c r="F16" s="30">
        <f>IFERROR(AVERAGEIFS(风险登记册!$Q$4:$Q$203,风险登记册!$F$4:$F$203,IF($C$3="全部","&lt;&gt;",$C$3),风险登记册!$G$4:$G$203,$B16,风险登记册!$S$4:$S$203,F$14),"")</f>
        <v/>
      </c>
      <c r="G16" s="30">
        <f>IFERROR(AVERAGEIFS(风险登记册!$Q$4:$Q$203,风险登记册!$F$4:$F$203,IF($C$3="全部","&lt;&gt;",$C$3),风险登记册!$G$4:$G$203,$B16,风险登记册!$S$4:$S$203,G$14),"")</f>
        <v/>
      </c>
    </row>
    <row r="17">
      <c r="B17" s="24" t="n">
        <v>3</v>
      </c>
      <c r="C17" s="30">
        <f>IFERROR(AVERAGEIFS(风险登记册!$Q$4:$Q$203,风险登记册!$F$4:$F$203,IF($C$3="全部","&lt;&gt;",$C$3),风险登记册!$G$4:$G$203,$B17,风险登记册!$S$4:$S$203,C$14),"")</f>
        <v/>
      </c>
      <c r="D17" s="30">
        <f>IFERROR(AVERAGEIFS(风险登记册!$Q$4:$Q$203,风险登记册!$F$4:$F$203,IF($C$3="全部","&lt;&gt;",$C$3),风险登记册!$G$4:$G$203,$B17,风险登记册!$S$4:$S$203,D$14),"")</f>
        <v/>
      </c>
      <c r="E17" s="30">
        <f>IFERROR(AVERAGEIFS(风险登记册!$Q$4:$Q$203,风险登记册!$F$4:$F$203,IF($C$3="全部","&lt;&gt;",$C$3),风险登记册!$G$4:$G$203,$B17,风险登记册!$S$4:$S$203,E$14),"")</f>
        <v/>
      </c>
      <c r="F17" s="30">
        <f>IFERROR(AVERAGEIFS(风险登记册!$Q$4:$Q$203,风险登记册!$F$4:$F$203,IF($C$3="全部","&lt;&gt;",$C$3),风险登记册!$G$4:$G$203,$B17,风险登记册!$S$4:$S$203,F$14),"")</f>
        <v/>
      </c>
      <c r="G17" s="30">
        <f>IFERROR(AVERAGEIFS(风险登记册!$Q$4:$Q$203,风险登记册!$F$4:$F$203,IF($C$3="全部","&lt;&gt;",$C$3),风险登记册!$G$4:$G$203,$B17,风险登记册!$S$4:$S$203,G$14),"")</f>
        <v/>
      </c>
    </row>
    <row r="18">
      <c r="B18" s="24" t="n">
        <v>2</v>
      </c>
      <c r="C18" s="30">
        <f>IFERROR(AVERAGEIFS(风险登记册!$Q$4:$Q$203,风险登记册!$F$4:$F$203,IF($C$3="全部","&lt;&gt;",$C$3),风险登记册!$G$4:$G$203,$B18,风险登记册!$S$4:$S$203,C$14),"")</f>
        <v/>
      </c>
      <c r="D18" s="30">
        <f>IFERROR(AVERAGEIFS(风险登记册!$Q$4:$Q$203,风险登记册!$F$4:$F$203,IF($C$3="全部","&lt;&gt;",$C$3),风险登记册!$G$4:$G$203,$B18,风险登记册!$S$4:$S$203,D$14),"")</f>
        <v/>
      </c>
      <c r="E18" s="30">
        <f>IFERROR(AVERAGEIFS(风险登记册!$Q$4:$Q$203,风险登记册!$F$4:$F$203,IF($C$3="全部","&lt;&gt;",$C$3),风险登记册!$G$4:$G$203,$B18,风险登记册!$S$4:$S$203,E$14),"")</f>
        <v/>
      </c>
      <c r="F18" s="30">
        <f>IFERROR(AVERAGEIFS(风险登记册!$Q$4:$Q$203,风险登记册!$F$4:$F$203,IF($C$3="全部","&lt;&gt;",$C$3),风险登记册!$G$4:$G$203,$B18,风险登记册!$S$4:$S$203,F$14),"")</f>
        <v/>
      </c>
      <c r="G18" s="30">
        <f>IFERROR(AVERAGEIFS(风险登记册!$Q$4:$Q$203,风险登记册!$F$4:$F$203,IF($C$3="全部","&lt;&gt;",$C$3),风险登记册!$G$4:$G$203,$B18,风险登记册!$S$4:$S$203,G$14),"")</f>
        <v/>
      </c>
    </row>
    <row r="19">
      <c r="B19" s="24" t="n">
        <v>1</v>
      </c>
      <c r="C19" s="30">
        <f>IFERROR(AVERAGEIFS(风险登记册!$Q$4:$Q$203,风险登记册!$F$4:$F$203,IF($C$3="全部","&lt;&gt;",$C$3),风险登记册!$G$4:$G$203,$B19,风险登记册!$S$4:$S$203,C$14),"")</f>
        <v/>
      </c>
      <c r="D19" s="30">
        <f>IFERROR(AVERAGEIFS(风险登记册!$Q$4:$Q$203,风险登记册!$F$4:$F$203,IF($C$3="全部","&lt;&gt;",$C$3),风险登记册!$G$4:$G$203,$B19,风险登记册!$S$4:$S$203,D$14),"")</f>
        <v/>
      </c>
      <c r="E19" s="30">
        <f>IFERROR(AVERAGEIFS(风险登记册!$Q$4:$Q$203,风险登记册!$F$4:$F$203,IF($C$3="全部","&lt;&gt;",$C$3),风险登记册!$G$4:$G$203,$B19,风险登记册!$S$4:$S$203,E$14),"")</f>
        <v/>
      </c>
      <c r="F19" s="30">
        <f>IFERROR(AVERAGEIFS(风险登记册!$Q$4:$Q$203,风险登记册!$F$4:$F$203,IF($C$3="全部","&lt;&gt;",$C$3),风险登记册!$G$4:$G$203,$B19,风险登记册!$S$4:$S$203,F$14),"")</f>
        <v/>
      </c>
      <c r="G19" s="30">
        <f>IFERROR(AVERAGEIFS(风险登记册!$Q$4:$Q$203,风险登记册!$F$4:$F$203,IF($C$3="全部","&lt;&gt;",$C$3),风险登记册!$G$4:$G$203,$B19,风险登记册!$S$4:$S$203,G$14),"")</f>
        <v/>
      </c>
    </row>
    <row r="21">
      <c r="B21" s="2" t="inlineStr">
        <is>
          <t>图例</t>
        </is>
      </c>
    </row>
    <row r="22">
      <c r="C22" s="11" t="inlineStr">
        <is>
          <t>极高</t>
        </is>
      </c>
      <c r="E22" s="12" t="inlineStr">
        <is>
          <t>高</t>
        </is>
      </c>
      <c r="G22" s="13" t="inlineStr">
        <is>
          <t>中</t>
        </is>
      </c>
    </row>
    <row r="23">
      <c r="C23" s="14" t="inlineStr">
        <is>
          <t>低</t>
        </is>
      </c>
      <c r="E23" s="15" t="inlineStr">
        <is>
          <t>极低</t>
        </is>
      </c>
    </row>
    <row r="25">
      <c r="B25" s="7" t="inlineStr">
        <is>
          <t>说明：固有矩阵定位＝(发生可能性, 综合影响取整)；剩余矩阵同一坐标展示控制后的平均剩余分。逐条风险的精确剩余分见「汇总与优先级」页。</t>
        </is>
      </c>
    </row>
  </sheetData>
  <conditionalFormatting sqref="C15:G19">
    <cfRule type="expression" priority="1" dxfId="6" stopIfTrue="1">
      <formula>AND(ISNUMBER(C15),C15&gt;=参数配置!$B$12)</formula>
    </cfRule>
    <cfRule type="expression" priority="2" dxfId="7" stopIfTrue="1">
      <formula>AND(ISNUMBER(C15),C15&gt;=参数配置!$B$13,C15&lt;参数配置!$B$12)</formula>
    </cfRule>
    <cfRule type="expression" priority="3" dxfId="8" stopIfTrue="1">
      <formula>AND(ISNUMBER(C15),C15&gt;=参数配置!$B$14,C15&lt;参数配置!$B$13)</formula>
    </cfRule>
    <cfRule type="expression" priority="4" dxfId="9" stopIfTrue="1">
      <formula>AND(ISNUMBER(C15),C15&gt;=参数配置!$B$15,C15&lt;参数配置!$B$14)</formula>
    </cfRule>
    <cfRule type="expression" priority="5" dxfId="10" stopIfTrue="1">
      <formula>AND(ISNUMBER(C15),C15&lt;参数配置!$B$15)</formula>
    </cfRule>
  </conditionalFormatting>
  <dataValidations count="1">
    <dataValidation sqref="C3" showDropDown="0" showInputMessage="0" showErrorMessage="0" allowBlank="0" type="list">
      <formula1>=参数配置!$I$2:$I$8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K1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2" customWidth="1" min="3" max="3"/>
    <col width="13" customWidth="1" min="4" max="4"/>
    <col width="12" customWidth="1" min="5" max="5"/>
    <col width="8" customWidth="1" min="6" max="6"/>
    <col width="9" customWidth="1" min="7" max="7"/>
    <col width="10" customWidth="1" min="8" max="8"/>
    <col width="9" customWidth="1" min="9" max="9"/>
    <col width="9" customWidth="1" min="10" max="10"/>
    <col width="10" customWidth="1" min="11" max="11"/>
  </cols>
  <sheetData>
    <row r="1">
      <c r="A1" s="1" t="inlineStr">
        <is>
          <t>汇总统计与年度审计优先级清单</t>
        </is>
      </c>
    </row>
    <row r="2">
      <c r="A2" t="inlineStr">
        <is>
          <t>评估期间（联动热力图页）：</t>
        </is>
      </c>
      <c r="B2" s="31">
        <f>热力图!$C$3</f>
        <v/>
      </c>
    </row>
    <row r="4">
      <c r="A4" s="2" t="inlineStr">
        <is>
          <t>一、领域汇总</t>
        </is>
      </c>
    </row>
    <row r="5" ht="22" customHeight="1">
      <c r="A5" s="5" t="inlineStr">
        <is>
          <t>领域</t>
        </is>
      </c>
      <c r="B5" s="5" t="inlineStr">
        <is>
          <t>风险数</t>
        </is>
      </c>
      <c r="C5" s="5" t="inlineStr">
        <is>
          <t>平均剩余分</t>
        </is>
      </c>
      <c r="D5" s="5" t="inlineStr">
        <is>
          <t>最高剩余分</t>
        </is>
      </c>
      <c r="E5" s="5" t="inlineStr">
        <is>
          <t>极高数</t>
        </is>
      </c>
      <c r="F5" s="5" t="inlineStr">
        <is>
          <t>高数</t>
        </is>
      </c>
      <c r="G5" s="5" t="inlineStr">
        <is>
          <t>平均控制挽回率</t>
        </is>
      </c>
    </row>
    <row r="6">
      <c r="A6" s="16" t="inlineStr">
        <is>
          <t>战略与投资</t>
        </is>
      </c>
      <c r="B6" s="32">
        <f>COUNTIFS(风险登记册!$C$4:$C$203,$A6,风险登记册!$F$4:$F$203,IF($B$2="全部","&lt;&gt;",$B$2))</f>
        <v/>
      </c>
      <c r="C6" s="30">
        <f>IFERROR(ROUND(AVERAGEIFS(风险登记册!$Q$4:$Q$203,风险登记册!$C$4:$C$203,$A6,风险登记册!$F$4:$F$203,IF($B$2="全部","&lt;&gt;",$B$2)),2),"—")</f>
        <v/>
      </c>
      <c r="D6" s="32">
        <f>IFERROR(MAXIFS(风险登记册!$Q$4:$Q$203,风险登记册!$C$4:$C$203,$A6,风险登记册!$F$4:$F$203,IF($B$2="全部","&lt;&gt;",$B$2)),"—")</f>
        <v/>
      </c>
      <c r="E6" s="32">
        <f>COUNTIFS(风险登记册!$R$4:$R$203,"极高",风险登记册!$C$4:$C$203,$A6,风险登记册!$F$4:$F$203,IF($B$2="全部","&lt;&gt;",$B$2))</f>
        <v/>
      </c>
      <c r="F6" s="32">
        <f>COUNTIFS(风险登记册!$R$4:$R$203,"高",风险登记册!$C$4:$C$203,$A6,风险登记册!$F$4:$F$203,IF($B$2="全部","&lt;&gt;",$B$2))</f>
        <v/>
      </c>
      <c r="G6" s="18">
        <f>IFERROR(AVERAGEIFS(风险登记册!$V$4:$V$203,风险登记册!$C$4:$C$203,$A6,风险登记册!$F$4:$F$203,IF($B$2="全部","&lt;&gt;",$B$2)),"—")</f>
        <v/>
      </c>
    </row>
    <row r="7">
      <c r="A7" s="16" t="inlineStr">
        <is>
          <t>治理与决策</t>
        </is>
      </c>
      <c r="B7" s="32">
        <f>COUNTIFS(风险登记册!$C$4:$C$203,$A7,风险登记册!$F$4:$F$203,IF($B$2="全部","&lt;&gt;",$B$2))</f>
        <v/>
      </c>
      <c r="C7" s="30">
        <f>IFERROR(ROUND(AVERAGEIFS(风险登记册!$Q$4:$Q$203,风险登记册!$C$4:$C$203,$A7,风险登记册!$F$4:$F$203,IF($B$2="全部","&lt;&gt;",$B$2)),2),"—")</f>
        <v/>
      </c>
      <c r="D7" s="32">
        <f>IFERROR(MAXIFS(风险登记册!$Q$4:$Q$203,风险登记册!$C$4:$C$203,$A7,风险登记册!$F$4:$F$203,IF($B$2="全部","&lt;&gt;",$B$2)),"—")</f>
        <v/>
      </c>
      <c r="E7" s="32">
        <f>COUNTIFS(风险登记册!$R$4:$R$203,"极高",风险登记册!$C$4:$C$203,$A7,风险登记册!$F$4:$F$203,IF($B$2="全部","&lt;&gt;",$B$2))</f>
        <v/>
      </c>
      <c r="F7" s="32">
        <f>COUNTIFS(风险登记册!$R$4:$R$203,"高",风险登记册!$C$4:$C$203,$A7,风险登记册!$F$4:$F$203,IF($B$2="全部","&lt;&gt;",$B$2))</f>
        <v/>
      </c>
      <c r="G7" s="18">
        <f>IFERROR(AVERAGEIFS(风险登记册!$V$4:$V$203,风险登记册!$C$4:$C$203,$A7,风险登记册!$F$4:$F$203,IF($B$2="全部","&lt;&gt;",$B$2)),"—")</f>
        <v/>
      </c>
    </row>
    <row r="8">
      <c r="A8" s="16" t="inlineStr">
        <is>
          <t>资金活动</t>
        </is>
      </c>
      <c r="B8" s="32">
        <f>COUNTIFS(风险登记册!$C$4:$C$203,$A8,风险登记册!$F$4:$F$203,IF($B$2="全部","&lt;&gt;",$B$2))</f>
        <v/>
      </c>
      <c r="C8" s="30">
        <f>IFERROR(ROUND(AVERAGEIFS(风险登记册!$Q$4:$Q$203,风险登记册!$C$4:$C$203,$A8,风险登记册!$F$4:$F$203,IF($B$2="全部","&lt;&gt;",$B$2)),2),"—")</f>
        <v/>
      </c>
      <c r="D8" s="32">
        <f>IFERROR(MAXIFS(风险登记册!$Q$4:$Q$203,风险登记册!$C$4:$C$203,$A8,风险登记册!$F$4:$F$203,IF($B$2="全部","&lt;&gt;",$B$2)),"—")</f>
        <v/>
      </c>
      <c r="E8" s="32">
        <f>COUNTIFS(风险登记册!$R$4:$R$203,"极高",风险登记册!$C$4:$C$203,$A8,风险登记册!$F$4:$F$203,IF($B$2="全部","&lt;&gt;",$B$2))</f>
        <v/>
      </c>
      <c r="F8" s="32">
        <f>COUNTIFS(风险登记册!$R$4:$R$203,"高",风险登记册!$C$4:$C$203,$A8,风险登记册!$F$4:$F$203,IF($B$2="全部","&lt;&gt;",$B$2))</f>
        <v/>
      </c>
      <c r="G8" s="18">
        <f>IFERROR(AVERAGEIFS(风险登记册!$V$4:$V$203,风险登记册!$C$4:$C$203,$A8,风险登记册!$F$4:$F$203,IF($B$2="全部","&lt;&gt;",$B$2)),"—")</f>
        <v/>
      </c>
    </row>
    <row r="9">
      <c r="A9" s="16" t="inlineStr">
        <is>
          <t>财务报告与税务</t>
        </is>
      </c>
      <c r="B9" s="32">
        <f>COUNTIFS(风险登记册!$C$4:$C$203,$A9,风险登记册!$F$4:$F$203,IF($B$2="全部","&lt;&gt;",$B$2))</f>
        <v/>
      </c>
      <c r="C9" s="30">
        <f>IFERROR(ROUND(AVERAGEIFS(风险登记册!$Q$4:$Q$203,风险登记册!$C$4:$C$203,$A9,风险登记册!$F$4:$F$203,IF($B$2="全部","&lt;&gt;",$B$2)),2),"—")</f>
        <v/>
      </c>
      <c r="D9" s="32">
        <f>IFERROR(MAXIFS(风险登记册!$Q$4:$Q$203,风险登记册!$C$4:$C$203,$A9,风险登记册!$F$4:$F$203,IF($B$2="全部","&lt;&gt;",$B$2)),"—")</f>
        <v/>
      </c>
      <c r="E9" s="32">
        <f>COUNTIFS(风险登记册!$R$4:$R$203,"极高",风险登记册!$C$4:$C$203,$A9,风险登记册!$F$4:$F$203,IF($B$2="全部","&lt;&gt;",$B$2))</f>
        <v/>
      </c>
      <c r="F9" s="32">
        <f>COUNTIFS(风险登记册!$R$4:$R$203,"高",风险登记册!$C$4:$C$203,$A9,风险登记册!$F$4:$F$203,IF($B$2="全部","&lt;&gt;",$B$2))</f>
        <v/>
      </c>
      <c r="G9" s="18">
        <f>IFERROR(AVERAGEIFS(风险登记册!$V$4:$V$203,风险登记册!$C$4:$C$203,$A9,风险登记册!$F$4:$F$203,IF($B$2="全部","&lt;&gt;",$B$2)),"—")</f>
        <v/>
      </c>
    </row>
    <row r="10">
      <c r="A10" s="16" t="inlineStr">
        <is>
          <t>资产管理</t>
        </is>
      </c>
      <c r="B10" s="32">
        <f>COUNTIFS(风险登记册!$C$4:$C$203,$A10,风险登记册!$F$4:$F$203,IF($B$2="全部","&lt;&gt;",$B$2))</f>
        <v/>
      </c>
      <c r="C10" s="30">
        <f>IFERROR(ROUND(AVERAGEIFS(风险登记册!$Q$4:$Q$203,风险登记册!$C$4:$C$203,$A10,风险登记册!$F$4:$F$203,IF($B$2="全部","&lt;&gt;",$B$2)),2),"—")</f>
        <v/>
      </c>
      <c r="D10" s="32">
        <f>IFERROR(MAXIFS(风险登记册!$Q$4:$Q$203,风险登记册!$C$4:$C$203,$A10,风险登记册!$F$4:$F$203,IF($B$2="全部","&lt;&gt;",$B$2)),"—")</f>
        <v/>
      </c>
      <c r="E10" s="32">
        <f>COUNTIFS(风险登记册!$R$4:$R$203,"极高",风险登记册!$C$4:$C$203,$A10,风险登记册!$F$4:$F$203,IF($B$2="全部","&lt;&gt;",$B$2))</f>
        <v/>
      </c>
      <c r="F10" s="32">
        <f>COUNTIFS(风险登记册!$R$4:$R$203,"高",风险登记册!$C$4:$C$203,$A10,风险登记册!$F$4:$F$203,IF($B$2="全部","&lt;&gt;",$B$2))</f>
        <v/>
      </c>
      <c r="G10" s="18">
        <f>IFERROR(AVERAGEIFS(风险登记册!$V$4:$V$203,风险登记册!$C$4:$C$203,$A10,风险登记册!$F$4:$F$203,IF($B$2="全部","&lt;&gt;",$B$2)),"—")</f>
        <v/>
      </c>
    </row>
    <row r="11">
      <c r="A11" s="16" t="inlineStr">
        <is>
          <t>采购与外包</t>
        </is>
      </c>
      <c r="B11" s="32">
        <f>COUNTIFS(风险登记册!$C$4:$C$203,$A11,风险登记册!$F$4:$F$203,IF($B$2="全部","&lt;&gt;",$B$2))</f>
        <v/>
      </c>
      <c r="C11" s="30">
        <f>IFERROR(ROUND(AVERAGEIFS(风险登记册!$Q$4:$Q$203,风险登记册!$C$4:$C$203,$A11,风险登记册!$F$4:$F$203,IF($B$2="全部","&lt;&gt;",$B$2)),2),"—")</f>
        <v/>
      </c>
      <c r="D11" s="32">
        <f>IFERROR(MAXIFS(风险登记册!$Q$4:$Q$203,风险登记册!$C$4:$C$203,$A11,风险登记册!$F$4:$F$203,IF($B$2="全部","&lt;&gt;",$B$2)),"—")</f>
        <v/>
      </c>
      <c r="E11" s="32">
        <f>COUNTIFS(风险登记册!$R$4:$R$203,"极高",风险登记册!$C$4:$C$203,$A11,风险登记册!$F$4:$F$203,IF($B$2="全部","&lt;&gt;",$B$2))</f>
        <v/>
      </c>
      <c r="F11" s="32">
        <f>COUNTIFS(风险登记册!$R$4:$R$203,"高",风险登记册!$C$4:$C$203,$A11,风险登记册!$F$4:$F$203,IF($B$2="全部","&lt;&gt;",$B$2))</f>
        <v/>
      </c>
      <c r="G11" s="18">
        <f>IFERROR(AVERAGEIFS(风险登记册!$V$4:$V$203,风险登记册!$C$4:$C$203,$A11,风险登记册!$F$4:$F$203,IF($B$2="全部","&lt;&gt;",$B$2)),"—")</f>
        <v/>
      </c>
    </row>
    <row r="12">
      <c r="A12" s="16" t="inlineStr">
        <is>
          <t>合同管理</t>
        </is>
      </c>
      <c r="B12" s="32">
        <f>COUNTIFS(风险登记册!$C$4:$C$203,$A12,风险登记册!$F$4:$F$203,IF($B$2="全部","&lt;&gt;",$B$2))</f>
        <v/>
      </c>
      <c r="C12" s="30">
        <f>IFERROR(ROUND(AVERAGEIFS(风险登记册!$Q$4:$Q$203,风险登记册!$C$4:$C$203,$A12,风险登记册!$F$4:$F$203,IF($B$2="全部","&lt;&gt;",$B$2)),2),"—")</f>
        <v/>
      </c>
      <c r="D12" s="32">
        <f>IFERROR(MAXIFS(风险登记册!$Q$4:$Q$203,风险登记册!$C$4:$C$203,$A12,风险登记册!$F$4:$F$203,IF($B$2="全部","&lt;&gt;",$B$2)),"—")</f>
        <v/>
      </c>
      <c r="E12" s="32">
        <f>COUNTIFS(风险登记册!$R$4:$R$203,"极高",风险登记册!$C$4:$C$203,$A12,风险登记册!$F$4:$F$203,IF($B$2="全部","&lt;&gt;",$B$2))</f>
        <v/>
      </c>
      <c r="F12" s="32">
        <f>COUNTIFS(风险登记册!$R$4:$R$203,"高",风险登记册!$C$4:$C$203,$A12,风险登记册!$F$4:$F$203,IF($B$2="全部","&lt;&gt;",$B$2))</f>
        <v/>
      </c>
      <c r="G12" s="18">
        <f>IFERROR(AVERAGEIFS(风险登记册!$V$4:$V$203,风险登记册!$C$4:$C$203,$A12,风险登记册!$F$4:$F$203,IF($B$2="全部","&lt;&gt;",$B$2)),"—")</f>
        <v/>
      </c>
    </row>
    <row r="13">
      <c r="A13" s="16" t="inlineStr">
        <is>
          <t>工程项目</t>
        </is>
      </c>
      <c r="B13" s="32">
        <f>COUNTIFS(风险登记册!$C$4:$C$203,$A13,风险登记册!$F$4:$F$203,IF($B$2="全部","&lt;&gt;",$B$2))</f>
        <v/>
      </c>
      <c r="C13" s="30">
        <f>IFERROR(ROUND(AVERAGEIFS(风险登记册!$Q$4:$Q$203,风险登记册!$C$4:$C$203,$A13,风险登记册!$F$4:$F$203,IF($B$2="全部","&lt;&gt;",$B$2)),2),"—")</f>
        <v/>
      </c>
      <c r="D13" s="32">
        <f>IFERROR(MAXIFS(风险登记册!$Q$4:$Q$203,风险登记册!$C$4:$C$203,$A13,风险登记册!$F$4:$F$203,IF($B$2="全部","&lt;&gt;",$B$2)),"—")</f>
        <v/>
      </c>
      <c r="E13" s="32">
        <f>COUNTIFS(风险登记册!$R$4:$R$203,"极高",风险登记册!$C$4:$C$203,$A13,风险登记册!$F$4:$F$203,IF($B$2="全部","&lt;&gt;",$B$2))</f>
        <v/>
      </c>
      <c r="F13" s="32">
        <f>COUNTIFS(风险登记册!$R$4:$R$203,"高",风险登记册!$C$4:$C$203,$A13,风险登记册!$F$4:$F$203,IF($B$2="全部","&lt;&gt;",$B$2))</f>
        <v/>
      </c>
      <c r="G13" s="18">
        <f>IFERROR(AVERAGEIFS(风险登记册!$V$4:$V$203,风险登记册!$C$4:$C$203,$A13,风险登记册!$F$4:$F$203,IF($B$2="全部","&lt;&gt;",$B$2)),"—")</f>
        <v/>
      </c>
    </row>
    <row r="14">
      <c r="A14" s="16" t="inlineStr">
        <is>
          <t>人力资源</t>
        </is>
      </c>
      <c r="B14" s="32">
        <f>COUNTIFS(风险登记册!$C$4:$C$203,$A14,风险登记册!$F$4:$F$203,IF($B$2="全部","&lt;&gt;",$B$2))</f>
        <v/>
      </c>
      <c r="C14" s="30">
        <f>IFERROR(ROUND(AVERAGEIFS(风险登记册!$Q$4:$Q$203,风险登记册!$C$4:$C$203,$A14,风险登记册!$F$4:$F$203,IF($B$2="全部","&lt;&gt;",$B$2)),2),"—")</f>
        <v/>
      </c>
      <c r="D14" s="32">
        <f>IFERROR(MAXIFS(风险登记册!$Q$4:$Q$203,风险登记册!$C$4:$C$203,$A14,风险登记册!$F$4:$F$203,IF($B$2="全部","&lt;&gt;",$B$2)),"—")</f>
        <v/>
      </c>
      <c r="E14" s="32">
        <f>COUNTIFS(风险登记册!$R$4:$R$203,"极高",风险登记册!$C$4:$C$203,$A14,风险登记册!$F$4:$F$203,IF($B$2="全部","&lt;&gt;",$B$2))</f>
        <v/>
      </c>
      <c r="F14" s="32">
        <f>COUNTIFS(风险登记册!$R$4:$R$203,"高",风险登记册!$C$4:$C$203,$A14,风险登记册!$F$4:$F$203,IF($B$2="全部","&lt;&gt;",$B$2))</f>
        <v/>
      </c>
      <c r="G14" s="18">
        <f>IFERROR(AVERAGEIFS(风险登记册!$V$4:$V$203,风险登记册!$C$4:$C$203,$A14,风险登记册!$F$4:$F$203,IF($B$2="全部","&lt;&gt;",$B$2)),"—")</f>
        <v/>
      </c>
    </row>
    <row r="15">
      <c r="A15" s="16" t="inlineStr">
        <is>
          <t>信息系统</t>
        </is>
      </c>
      <c r="B15" s="32">
        <f>COUNTIFS(风险登记册!$C$4:$C$203,$A15,风险登记册!$F$4:$F$203,IF($B$2="全部","&lt;&gt;",$B$2))</f>
        <v/>
      </c>
      <c r="C15" s="30">
        <f>IFERROR(ROUND(AVERAGEIFS(风险登记册!$Q$4:$Q$203,风险登记册!$C$4:$C$203,$A15,风险登记册!$F$4:$F$203,IF($B$2="全部","&lt;&gt;",$B$2)),2),"—")</f>
        <v/>
      </c>
      <c r="D15" s="32">
        <f>IFERROR(MAXIFS(风险登记册!$Q$4:$Q$203,风险登记册!$C$4:$C$203,$A15,风险登记册!$F$4:$F$203,IF($B$2="全部","&lt;&gt;",$B$2)),"—")</f>
        <v/>
      </c>
      <c r="E15" s="32">
        <f>COUNTIFS(风险登记册!$R$4:$R$203,"极高",风险登记册!$C$4:$C$203,$A15,风险登记册!$F$4:$F$203,IF($B$2="全部","&lt;&gt;",$B$2))</f>
        <v/>
      </c>
      <c r="F15" s="32">
        <f>COUNTIFS(风险登记册!$R$4:$R$203,"高",风险登记册!$C$4:$C$203,$A15,风险登记册!$F$4:$F$203,IF($B$2="全部","&lt;&gt;",$B$2))</f>
        <v/>
      </c>
      <c r="G15" s="18">
        <f>IFERROR(AVERAGEIFS(风险登记册!$V$4:$V$203,风险登记册!$C$4:$C$203,$A15,风险登记册!$F$4:$F$203,IF($B$2="全部","&lt;&gt;",$B$2)),"—")</f>
        <v/>
      </c>
    </row>
    <row r="16">
      <c r="A16" s="16" t="inlineStr">
        <is>
          <t>合规与法律</t>
        </is>
      </c>
      <c r="B16" s="32">
        <f>COUNTIFS(风险登记册!$C$4:$C$203,$A16,风险登记册!$F$4:$F$203,IF($B$2="全部","&lt;&gt;",$B$2))</f>
        <v/>
      </c>
      <c r="C16" s="30">
        <f>IFERROR(ROUND(AVERAGEIFS(风险登记册!$Q$4:$Q$203,风险登记册!$C$4:$C$203,$A16,风险登记册!$F$4:$F$203,IF($B$2="全部","&lt;&gt;",$B$2)),2),"—")</f>
        <v/>
      </c>
      <c r="D16" s="32">
        <f>IFERROR(MAXIFS(风险登记册!$Q$4:$Q$203,风险登记册!$C$4:$C$203,$A16,风险登记册!$F$4:$F$203,IF($B$2="全部","&lt;&gt;",$B$2)),"—")</f>
        <v/>
      </c>
      <c r="E16" s="32">
        <f>COUNTIFS(风险登记册!$R$4:$R$203,"极高",风险登记册!$C$4:$C$203,$A16,风险登记册!$F$4:$F$203,IF($B$2="全部","&lt;&gt;",$B$2))</f>
        <v/>
      </c>
      <c r="F16" s="32">
        <f>COUNTIFS(风险登记册!$R$4:$R$203,"高",风险登记册!$C$4:$C$203,$A16,风险登记册!$F$4:$F$203,IF($B$2="全部","&lt;&gt;",$B$2))</f>
        <v/>
      </c>
      <c r="G16" s="18">
        <f>IFERROR(AVERAGEIFS(风险登记册!$V$4:$V$203,风险登记册!$C$4:$C$203,$A16,风险登记册!$F$4:$F$203,IF($B$2="全部","&lt;&gt;",$B$2)),"—")</f>
        <v/>
      </c>
    </row>
    <row r="17">
      <c r="A17" s="16" t="inlineStr">
        <is>
          <t>安全环保</t>
        </is>
      </c>
      <c r="B17" s="32">
        <f>COUNTIFS(风险登记册!$C$4:$C$203,$A17,风险登记册!$F$4:$F$203,IF($B$2="全部","&lt;&gt;",$B$2))</f>
        <v/>
      </c>
      <c r="C17" s="30">
        <f>IFERROR(ROUND(AVERAGEIFS(风险登记册!$Q$4:$Q$203,风险登记册!$C$4:$C$203,$A17,风险登记册!$F$4:$F$203,IF($B$2="全部","&lt;&gt;",$B$2)),2),"—")</f>
        <v/>
      </c>
      <c r="D17" s="32">
        <f>IFERROR(MAXIFS(风险登记册!$Q$4:$Q$203,风险登记册!$C$4:$C$203,$A17,风险登记册!$F$4:$F$203,IF($B$2="全部","&lt;&gt;",$B$2)),"—")</f>
        <v/>
      </c>
      <c r="E17" s="32">
        <f>COUNTIFS(风险登记册!$R$4:$R$203,"极高",风险登记册!$C$4:$C$203,$A17,风险登记册!$F$4:$F$203,IF($B$2="全部","&lt;&gt;",$B$2))</f>
        <v/>
      </c>
      <c r="F17" s="32">
        <f>COUNTIFS(风险登记册!$R$4:$R$203,"高",风险登记册!$C$4:$C$203,$A17,风险登记册!$F$4:$F$203,IF($B$2="全部","&lt;&gt;",$B$2))</f>
        <v/>
      </c>
      <c r="G17" s="18">
        <f>IFERROR(AVERAGEIFS(风险登记册!$V$4:$V$203,风险登记册!$C$4:$C$203,$A17,风险登记册!$F$4:$F$203,IF($B$2="全部","&lt;&gt;",$B$2)),"—")</f>
        <v/>
      </c>
    </row>
    <row r="19">
      <c r="A19" s="2" t="inlineStr">
        <is>
          <t>二、年度审计优先级清单（按剩余风险降序排名；可用筛选按排名/领域过滤）</t>
        </is>
      </c>
    </row>
    <row r="20" ht="24" customHeight="1">
      <c r="A20" s="5" t="inlineStr">
        <is>
          <t>排名</t>
        </is>
      </c>
      <c r="B20" s="5" t="inlineStr">
        <is>
          <t>风险编号</t>
        </is>
      </c>
      <c r="C20" s="5" t="inlineStr">
        <is>
          <t>风险名称</t>
        </is>
      </c>
      <c r="D20" s="5" t="inlineStr">
        <is>
          <t>所属领域</t>
        </is>
      </c>
      <c r="E20" s="5" t="inlineStr">
        <is>
          <t>责任部门</t>
        </is>
      </c>
      <c r="F20" s="5" t="inlineStr">
        <is>
          <t>可能性</t>
        </is>
      </c>
      <c r="G20" s="5" t="inlineStr">
        <is>
          <t>固有风险</t>
        </is>
      </c>
      <c r="H20" s="5" t="inlineStr">
        <is>
          <t>最弱控制分</t>
        </is>
      </c>
      <c r="I20" s="5" t="inlineStr">
        <is>
          <t>剩余风险</t>
        </is>
      </c>
      <c r="J20" s="5" t="inlineStr">
        <is>
          <t>剩余等级</t>
        </is>
      </c>
      <c r="K20" s="5" t="inlineStr">
        <is>
          <t>建议频次</t>
        </is>
      </c>
    </row>
    <row r="21">
      <c r="A21" s="32">
        <f>IF($B21="","",COUNTIFS(风险登记册!$F$4:$F$203,IF($B$2="全部","&lt;&gt;",$B$2),风险登记册!$Q$4:$Q$203,"&gt;"&amp;$I21)+COUNTIFS(风险登记册!$F$4:$F$203,IF($B$2="全部","&lt;&gt;",$B$2),风险登记册!$Q$4:$Q$203,$I21,风险登记册!$A$4:$A$203,"&lt;"&amp;$B21)+1)</f>
        <v/>
      </c>
      <c r="B21" s="32">
        <f>IF($B21="","",风险登记册!A4)</f>
        <v/>
      </c>
      <c r="C21" s="33">
        <f>IF($B21="","",风险登记册!B4)</f>
        <v/>
      </c>
      <c r="D21" s="33">
        <f>IF($B21="","",风险登记册!C4)</f>
        <v/>
      </c>
      <c r="E21" s="33">
        <f>IF($B21="","",风险登记册!E4)</f>
        <v/>
      </c>
      <c r="F21" s="32">
        <f>IF($B21="","",风险登记册!G4)</f>
        <v/>
      </c>
      <c r="G21" s="30">
        <f>IF($B21="","",风险登记册!N4)</f>
        <v/>
      </c>
      <c r="H21" s="32">
        <f>IF($B21="","",风险登记册!O4)</f>
        <v/>
      </c>
      <c r="I21" s="30">
        <f>IF($B21="","",风险登记册!Q4)</f>
        <v/>
      </c>
      <c r="J21" s="32">
        <f>IF($B21="","",风险登记册!R4)</f>
        <v/>
      </c>
      <c r="K21" s="32">
        <f>IF($B21="","",IF($J21="极高","每年必审",IF($J21="高","每年审计",IF($J21="中","两年一轮","按需抽查"))))</f>
        <v/>
      </c>
    </row>
    <row r="22">
      <c r="A22" s="32">
        <f>IF($B22="","",COUNTIFS(风险登记册!$F$4:$F$203,IF($B$2="全部","&lt;&gt;",$B$2),风险登记册!$Q$4:$Q$203,"&gt;"&amp;$I22)+COUNTIFS(风险登记册!$F$4:$F$203,IF($B$2="全部","&lt;&gt;",$B$2),风险登记册!$Q$4:$Q$203,$I22,风险登记册!$A$4:$A$203,"&lt;"&amp;$B22)+1)</f>
        <v/>
      </c>
      <c r="B22" s="32">
        <f>IF($B22="","",风险登记册!A5)</f>
        <v/>
      </c>
      <c r="C22" s="33">
        <f>IF($B22="","",风险登记册!B5)</f>
        <v/>
      </c>
      <c r="D22" s="33">
        <f>IF($B22="","",风险登记册!C5)</f>
        <v/>
      </c>
      <c r="E22" s="33">
        <f>IF($B22="","",风险登记册!E5)</f>
        <v/>
      </c>
      <c r="F22" s="32">
        <f>IF($B22="","",风险登记册!G5)</f>
        <v/>
      </c>
      <c r="G22" s="30">
        <f>IF($B22="","",风险登记册!N5)</f>
        <v/>
      </c>
      <c r="H22" s="32">
        <f>IF($B22="","",风险登记册!O5)</f>
        <v/>
      </c>
      <c r="I22" s="30">
        <f>IF($B22="","",风险登记册!Q5)</f>
        <v/>
      </c>
      <c r="J22" s="32">
        <f>IF($B22="","",风险登记册!R5)</f>
        <v/>
      </c>
      <c r="K22" s="32">
        <f>IF($B22="","",IF($J22="极高","每年必审",IF($J22="高","每年审计",IF($J22="中","两年一轮","按需抽查"))))</f>
        <v/>
      </c>
    </row>
    <row r="23">
      <c r="A23" s="32">
        <f>IF($B23="","",COUNTIFS(风险登记册!$F$4:$F$203,IF($B$2="全部","&lt;&gt;",$B$2),风险登记册!$Q$4:$Q$203,"&gt;"&amp;$I23)+COUNTIFS(风险登记册!$F$4:$F$203,IF($B$2="全部","&lt;&gt;",$B$2),风险登记册!$Q$4:$Q$203,$I23,风险登记册!$A$4:$A$203,"&lt;"&amp;$B23)+1)</f>
        <v/>
      </c>
      <c r="B23" s="32">
        <f>IF($B23="","",风险登记册!A6)</f>
        <v/>
      </c>
      <c r="C23" s="33">
        <f>IF($B23="","",风险登记册!B6)</f>
        <v/>
      </c>
      <c r="D23" s="33">
        <f>IF($B23="","",风险登记册!C6)</f>
        <v/>
      </c>
      <c r="E23" s="33">
        <f>IF($B23="","",风险登记册!E6)</f>
        <v/>
      </c>
      <c r="F23" s="32">
        <f>IF($B23="","",风险登记册!G6)</f>
        <v/>
      </c>
      <c r="G23" s="30">
        <f>IF($B23="","",风险登记册!N6)</f>
        <v/>
      </c>
      <c r="H23" s="32">
        <f>IF($B23="","",风险登记册!O6)</f>
        <v/>
      </c>
      <c r="I23" s="30">
        <f>IF($B23="","",风险登记册!Q6)</f>
        <v/>
      </c>
      <c r="J23" s="32">
        <f>IF($B23="","",风险登记册!R6)</f>
        <v/>
      </c>
      <c r="K23" s="32">
        <f>IF($B23="","",IF($J23="极高","每年必审",IF($J23="高","每年审计",IF($J23="中","两年一轮","按需抽查"))))</f>
        <v/>
      </c>
    </row>
    <row r="24">
      <c r="A24" s="32">
        <f>IF($B24="","",COUNTIFS(风险登记册!$F$4:$F$203,IF($B$2="全部","&lt;&gt;",$B$2),风险登记册!$Q$4:$Q$203,"&gt;"&amp;$I24)+COUNTIFS(风险登记册!$F$4:$F$203,IF($B$2="全部","&lt;&gt;",$B$2),风险登记册!$Q$4:$Q$203,$I24,风险登记册!$A$4:$A$203,"&lt;"&amp;$B24)+1)</f>
        <v/>
      </c>
      <c r="B24" s="32">
        <f>IF($B24="","",风险登记册!A7)</f>
        <v/>
      </c>
      <c r="C24" s="33">
        <f>IF($B24="","",风险登记册!B7)</f>
        <v/>
      </c>
      <c r="D24" s="33">
        <f>IF($B24="","",风险登记册!C7)</f>
        <v/>
      </c>
      <c r="E24" s="33">
        <f>IF($B24="","",风险登记册!E7)</f>
        <v/>
      </c>
      <c r="F24" s="32">
        <f>IF($B24="","",风险登记册!G7)</f>
        <v/>
      </c>
      <c r="G24" s="30">
        <f>IF($B24="","",风险登记册!N7)</f>
        <v/>
      </c>
      <c r="H24" s="32">
        <f>IF($B24="","",风险登记册!O7)</f>
        <v/>
      </c>
      <c r="I24" s="30">
        <f>IF($B24="","",风险登记册!Q7)</f>
        <v/>
      </c>
      <c r="J24" s="32">
        <f>IF($B24="","",风险登记册!R7)</f>
        <v/>
      </c>
      <c r="K24" s="32">
        <f>IF($B24="","",IF($J24="极高","每年必审",IF($J24="高","每年审计",IF($J24="中","两年一轮","按需抽查"))))</f>
        <v/>
      </c>
    </row>
    <row r="25">
      <c r="A25" s="32">
        <f>IF($B25="","",COUNTIFS(风险登记册!$F$4:$F$203,IF($B$2="全部","&lt;&gt;",$B$2),风险登记册!$Q$4:$Q$203,"&gt;"&amp;$I25)+COUNTIFS(风险登记册!$F$4:$F$203,IF($B$2="全部","&lt;&gt;",$B$2),风险登记册!$Q$4:$Q$203,$I25,风险登记册!$A$4:$A$203,"&lt;"&amp;$B25)+1)</f>
        <v/>
      </c>
      <c r="B25" s="32">
        <f>IF($B25="","",风险登记册!A8)</f>
        <v/>
      </c>
      <c r="C25" s="33">
        <f>IF($B25="","",风险登记册!B8)</f>
        <v/>
      </c>
      <c r="D25" s="33">
        <f>IF($B25="","",风险登记册!C8)</f>
        <v/>
      </c>
      <c r="E25" s="33">
        <f>IF($B25="","",风险登记册!E8)</f>
        <v/>
      </c>
      <c r="F25" s="32">
        <f>IF($B25="","",风险登记册!G8)</f>
        <v/>
      </c>
      <c r="G25" s="30">
        <f>IF($B25="","",风险登记册!N8)</f>
        <v/>
      </c>
      <c r="H25" s="32">
        <f>IF($B25="","",风险登记册!O8)</f>
        <v/>
      </c>
      <c r="I25" s="30">
        <f>IF($B25="","",风险登记册!Q8)</f>
        <v/>
      </c>
      <c r="J25" s="32">
        <f>IF($B25="","",风险登记册!R8)</f>
        <v/>
      </c>
      <c r="K25" s="32">
        <f>IF($B25="","",IF($J25="极高","每年必审",IF($J25="高","每年审计",IF($J25="中","两年一轮","按需抽查"))))</f>
        <v/>
      </c>
    </row>
    <row r="26">
      <c r="A26" s="32">
        <f>IF($B26="","",COUNTIFS(风险登记册!$F$4:$F$203,IF($B$2="全部","&lt;&gt;",$B$2),风险登记册!$Q$4:$Q$203,"&gt;"&amp;$I26)+COUNTIFS(风险登记册!$F$4:$F$203,IF($B$2="全部","&lt;&gt;",$B$2),风险登记册!$Q$4:$Q$203,$I26,风险登记册!$A$4:$A$203,"&lt;"&amp;$B26)+1)</f>
        <v/>
      </c>
      <c r="B26" s="32">
        <f>IF($B26="","",风险登记册!A9)</f>
        <v/>
      </c>
      <c r="C26" s="33">
        <f>IF($B26="","",风险登记册!B9)</f>
        <v/>
      </c>
      <c r="D26" s="33">
        <f>IF($B26="","",风险登记册!C9)</f>
        <v/>
      </c>
      <c r="E26" s="33">
        <f>IF($B26="","",风险登记册!E9)</f>
        <v/>
      </c>
      <c r="F26" s="32">
        <f>IF($B26="","",风险登记册!G9)</f>
        <v/>
      </c>
      <c r="G26" s="30">
        <f>IF($B26="","",风险登记册!N9)</f>
        <v/>
      </c>
      <c r="H26" s="32">
        <f>IF($B26="","",风险登记册!O9)</f>
        <v/>
      </c>
      <c r="I26" s="30">
        <f>IF($B26="","",风险登记册!Q9)</f>
        <v/>
      </c>
      <c r="J26" s="32">
        <f>IF($B26="","",风险登记册!R9)</f>
        <v/>
      </c>
      <c r="K26" s="32">
        <f>IF($B26="","",IF($J26="极高","每年必审",IF($J26="高","每年审计",IF($J26="中","两年一轮","按需抽查"))))</f>
        <v/>
      </c>
    </row>
    <row r="27">
      <c r="A27" s="32">
        <f>IF($B27="","",COUNTIFS(风险登记册!$F$4:$F$203,IF($B$2="全部","&lt;&gt;",$B$2),风险登记册!$Q$4:$Q$203,"&gt;"&amp;$I27)+COUNTIFS(风险登记册!$F$4:$F$203,IF($B$2="全部","&lt;&gt;",$B$2),风险登记册!$Q$4:$Q$203,$I27,风险登记册!$A$4:$A$203,"&lt;"&amp;$B27)+1)</f>
        <v/>
      </c>
      <c r="B27" s="32">
        <f>IF($B27="","",风险登记册!A10)</f>
        <v/>
      </c>
      <c r="C27" s="33">
        <f>IF($B27="","",风险登记册!B10)</f>
        <v/>
      </c>
      <c r="D27" s="33">
        <f>IF($B27="","",风险登记册!C10)</f>
        <v/>
      </c>
      <c r="E27" s="33">
        <f>IF($B27="","",风险登记册!E10)</f>
        <v/>
      </c>
      <c r="F27" s="32">
        <f>IF($B27="","",风险登记册!G10)</f>
        <v/>
      </c>
      <c r="G27" s="30">
        <f>IF($B27="","",风险登记册!N10)</f>
        <v/>
      </c>
      <c r="H27" s="32">
        <f>IF($B27="","",风险登记册!O10)</f>
        <v/>
      </c>
      <c r="I27" s="30">
        <f>IF($B27="","",风险登记册!Q10)</f>
        <v/>
      </c>
      <c r="J27" s="32">
        <f>IF($B27="","",风险登记册!R10)</f>
        <v/>
      </c>
      <c r="K27" s="32">
        <f>IF($B27="","",IF($J27="极高","每年必审",IF($J27="高","每年审计",IF($J27="中","两年一轮","按需抽查"))))</f>
        <v/>
      </c>
    </row>
    <row r="28">
      <c r="A28" s="32">
        <f>IF($B28="","",COUNTIFS(风险登记册!$F$4:$F$203,IF($B$2="全部","&lt;&gt;",$B$2),风险登记册!$Q$4:$Q$203,"&gt;"&amp;$I28)+COUNTIFS(风险登记册!$F$4:$F$203,IF($B$2="全部","&lt;&gt;",$B$2),风险登记册!$Q$4:$Q$203,$I28,风险登记册!$A$4:$A$203,"&lt;"&amp;$B28)+1)</f>
        <v/>
      </c>
      <c r="B28" s="32">
        <f>IF($B28="","",风险登记册!A11)</f>
        <v/>
      </c>
      <c r="C28" s="33">
        <f>IF($B28="","",风险登记册!B11)</f>
        <v/>
      </c>
      <c r="D28" s="33">
        <f>IF($B28="","",风险登记册!C11)</f>
        <v/>
      </c>
      <c r="E28" s="33">
        <f>IF($B28="","",风险登记册!E11)</f>
        <v/>
      </c>
      <c r="F28" s="32">
        <f>IF($B28="","",风险登记册!G11)</f>
        <v/>
      </c>
      <c r="G28" s="30">
        <f>IF($B28="","",风险登记册!N11)</f>
        <v/>
      </c>
      <c r="H28" s="32">
        <f>IF($B28="","",风险登记册!O11)</f>
        <v/>
      </c>
      <c r="I28" s="30">
        <f>IF($B28="","",风险登记册!Q11)</f>
        <v/>
      </c>
      <c r="J28" s="32">
        <f>IF($B28="","",风险登记册!R11)</f>
        <v/>
      </c>
      <c r="K28" s="32">
        <f>IF($B28="","",IF($J28="极高","每年必审",IF($J28="高","每年审计",IF($J28="中","两年一轮","按需抽查"))))</f>
        <v/>
      </c>
    </row>
    <row r="29">
      <c r="A29" s="32">
        <f>IF($B29="","",COUNTIFS(风险登记册!$F$4:$F$203,IF($B$2="全部","&lt;&gt;",$B$2),风险登记册!$Q$4:$Q$203,"&gt;"&amp;$I29)+COUNTIFS(风险登记册!$F$4:$F$203,IF($B$2="全部","&lt;&gt;",$B$2),风险登记册!$Q$4:$Q$203,$I29,风险登记册!$A$4:$A$203,"&lt;"&amp;$B29)+1)</f>
        <v/>
      </c>
      <c r="B29" s="32">
        <f>IF($B29="","",风险登记册!A12)</f>
        <v/>
      </c>
      <c r="C29" s="33">
        <f>IF($B29="","",风险登记册!B12)</f>
        <v/>
      </c>
      <c r="D29" s="33">
        <f>IF($B29="","",风险登记册!C12)</f>
        <v/>
      </c>
      <c r="E29" s="33">
        <f>IF($B29="","",风险登记册!E12)</f>
        <v/>
      </c>
      <c r="F29" s="32">
        <f>IF($B29="","",风险登记册!G12)</f>
        <v/>
      </c>
      <c r="G29" s="30">
        <f>IF($B29="","",风险登记册!N12)</f>
        <v/>
      </c>
      <c r="H29" s="32">
        <f>IF($B29="","",风险登记册!O12)</f>
        <v/>
      </c>
      <c r="I29" s="30">
        <f>IF($B29="","",风险登记册!Q12)</f>
        <v/>
      </c>
      <c r="J29" s="32">
        <f>IF($B29="","",风险登记册!R12)</f>
        <v/>
      </c>
      <c r="K29" s="32">
        <f>IF($B29="","",IF($J29="极高","每年必审",IF($J29="高","每年审计",IF($J29="中","两年一轮","按需抽查"))))</f>
        <v/>
      </c>
    </row>
    <row r="30">
      <c r="A30" s="32">
        <f>IF($B30="","",COUNTIFS(风险登记册!$F$4:$F$203,IF($B$2="全部","&lt;&gt;",$B$2),风险登记册!$Q$4:$Q$203,"&gt;"&amp;$I30)+COUNTIFS(风险登记册!$F$4:$F$203,IF($B$2="全部","&lt;&gt;",$B$2),风险登记册!$Q$4:$Q$203,$I30,风险登记册!$A$4:$A$203,"&lt;"&amp;$B30)+1)</f>
        <v/>
      </c>
      <c r="B30" s="32">
        <f>IF($B30="","",风险登记册!A13)</f>
        <v/>
      </c>
      <c r="C30" s="33">
        <f>IF($B30="","",风险登记册!B13)</f>
        <v/>
      </c>
      <c r="D30" s="33">
        <f>IF($B30="","",风险登记册!C13)</f>
        <v/>
      </c>
      <c r="E30" s="33">
        <f>IF($B30="","",风险登记册!E13)</f>
        <v/>
      </c>
      <c r="F30" s="32">
        <f>IF($B30="","",风险登记册!G13)</f>
        <v/>
      </c>
      <c r="G30" s="30">
        <f>IF($B30="","",风险登记册!N13)</f>
        <v/>
      </c>
      <c r="H30" s="32">
        <f>IF($B30="","",风险登记册!O13)</f>
        <v/>
      </c>
      <c r="I30" s="30">
        <f>IF($B30="","",风险登记册!Q13)</f>
        <v/>
      </c>
      <c r="J30" s="32">
        <f>IF($B30="","",风险登记册!R13)</f>
        <v/>
      </c>
      <c r="K30" s="32">
        <f>IF($B30="","",IF($J30="极高","每年必审",IF($J30="高","每年审计",IF($J30="中","两年一轮","按需抽查"))))</f>
        <v/>
      </c>
    </row>
    <row r="31">
      <c r="A31" s="32">
        <f>IF($B31="","",COUNTIFS(风险登记册!$F$4:$F$203,IF($B$2="全部","&lt;&gt;",$B$2),风险登记册!$Q$4:$Q$203,"&gt;"&amp;$I31)+COUNTIFS(风险登记册!$F$4:$F$203,IF($B$2="全部","&lt;&gt;",$B$2),风险登记册!$Q$4:$Q$203,$I31,风险登记册!$A$4:$A$203,"&lt;"&amp;$B31)+1)</f>
        <v/>
      </c>
      <c r="B31" s="32">
        <f>IF($B31="","",风险登记册!A14)</f>
        <v/>
      </c>
      <c r="C31" s="33">
        <f>IF($B31="","",风险登记册!B14)</f>
        <v/>
      </c>
      <c r="D31" s="33">
        <f>IF($B31="","",风险登记册!C14)</f>
        <v/>
      </c>
      <c r="E31" s="33">
        <f>IF($B31="","",风险登记册!E14)</f>
        <v/>
      </c>
      <c r="F31" s="32">
        <f>IF($B31="","",风险登记册!G14)</f>
        <v/>
      </c>
      <c r="G31" s="30">
        <f>IF($B31="","",风险登记册!N14)</f>
        <v/>
      </c>
      <c r="H31" s="32">
        <f>IF($B31="","",风险登记册!O14)</f>
        <v/>
      </c>
      <c r="I31" s="30">
        <f>IF($B31="","",风险登记册!Q14)</f>
        <v/>
      </c>
      <c r="J31" s="32">
        <f>IF($B31="","",风险登记册!R14)</f>
        <v/>
      </c>
      <c r="K31" s="32">
        <f>IF($B31="","",IF($J31="极高","每年必审",IF($J31="高","每年审计",IF($J31="中","两年一轮","按需抽查"))))</f>
        <v/>
      </c>
    </row>
    <row r="32">
      <c r="A32" s="32">
        <f>IF($B32="","",COUNTIFS(风险登记册!$F$4:$F$203,IF($B$2="全部","&lt;&gt;",$B$2),风险登记册!$Q$4:$Q$203,"&gt;"&amp;$I32)+COUNTIFS(风险登记册!$F$4:$F$203,IF($B$2="全部","&lt;&gt;",$B$2),风险登记册!$Q$4:$Q$203,$I32,风险登记册!$A$4:$A$203,"&lt;"&amp;$B32)+1)</f>
        <v/>
      </c>
      <c r="B32" s="32">
        <f>IF($B32="","",风险登记册!A15)</f>
        <v/>
      </c>
      <c r="C32" s="33">
        <f>IF($B32="","",风险登记册!B15)</f>
        <v/>
      </c>
      <c r="D32" s="33">
        <f>IF($B32="","",风险登记册!C15)</f>
        <v/>
      </c>
      <c r="E32" s="33">
        <f>IF($B32="","",风险登记册!E15)</f>
        <v/>
      </c>
      <c r="F32" s="32">
        <f>IF($B32="","",风险登记册!G15)</f>
        <v/>
      </c>
      <c r="G32" s="30">
        <f>IF($B32="","",风险登记册!N15)</f>
        <v/>
      </c>
      <c r="H32" s="32">
        <f>IF($B32="","",风险登记册!O15)</f>
        <v/>
      </c>
      <c r="I32" s="30">
        <f>IF($B32="","",风险登记册!Q15)</f>
        <v/>
      </c>
      <c r="J32" s="32">
        <f>IF($B32="","",风险登记册!R15)</f>
        <v/>
      </c>
      <c r="K32" s="32">
        <f>IF($B32="","",IF($J32="极高","每年必审",IF($J32="高","每年审计",IF($J32="中","两年一轮","按需抽查"))))</f>
        <v/>
      </c>
    </row>
    <row r="33">
      <c r="A33" s="32">
        <f>IF($B33="","",COUNTIFS(风险登记册!$F$4:$F$203,IF($B$2="全部","&lt;&gt;",$B$2),风险登记册!$Q$4:$Q$203,"&gt;"&amp;$I33)+COUNTIFS(风险登记册!$F$4:$F$203,IF($B$2="全部","&lt;&gt;",$B$2),风险登记册!$Q$4:$Q$203,$I33,风险登记册!$A$4:$A$203,"&lt;"&amp;$B33)+1)</f>
        <v/>
      </c>
      <c r="B33" s="32">
        <f>IF($B33="","",风险登记册!A16)</f>
        <v/>
      </c>
      <c r="C33" s="33">
        <f>IF($B33="","",风险登记册!B16)</f>
        <v/>
      </c>
      <c r="D33" s="33">
        <f>IF($B33="","",风险登记册!C16)</f>
        <v/>
      </c>
      <c r="E33" s="33">
        <f>IF($B33="","",风险登记册!E16)</f>
        <v/>
      </c>
      <c r="F33" s="32">
        <f>IF($B33="","",风险登记册!G16)</f>
        <v/>
      </c>
      <c r="G33" s="30">
        <f>IF($B33="","",风险登记册!N16)</f>
        <v/>
      </c>
      <c r="H33" s="32">
        <f>IF($B33="","",风险登记册!O16)</f>
        <v/>
      </c>
      <c r="I33" s="30">
        <f>IF($B33="","",风险登记册!Q16)</f>
        <v/>
      </c>
      <c r="J33" s="32">
        <f>IF($B33="","",风险登记册!R16)</f>
        <v/>
      </c>
      <c r="K33" s="32">
        <f>IF($B33="","",IF($J33="极高","每年必审",IF($J33="高","每年审计",IF($J33="中","两年一轮","按需抽查"))))</f>
        <v/>
      </c>
    </row>
    <row r="34">
      <c r="A34" s="32">
        <f>IF($B34="","",COUNTIFS(风险登记册!$F$4:$F$203,IF($B$2="全部","&lt;&gt;",$B$2),风险登记册!$Q$4:$Q$203,"&gt;"&amp;$I34)+COUNTIFS(风险登记册!$F$4:$F$203,IF($B$2="全部","&lt;&gt;",$B$2),风险登记册!$Q$4:$Q$203,$I34,风险登记册!$A$4:$A$203,"&lt;"&amp;$B34)+1)</f>
        <v/>
      </c>
      <c r="B34" s="32">
        <f>IF($B34="","",风险登记册!A17)</f>
        <v/>
      </c>
      <c r="C34" s="33">
        <f>IF($B34="","",风险登记册!B17)</f>
        <v/>
      </c>
      <c r="D34" s="33">
        <f>IF($B34="","",风险登记册!C17)</f>
        <v/>
      </c>
      <c r="E34" s="33">
        <f>IF($B34="","",风险登记册!E17)</f>
        <v/>
      </c>
      <c r="F34" s="32">
        <f>IF($B34="","",风险登记册!G17)</f>
        <v/>
      </c>
      <c r="G34" s="30">
        <f>IF($B34="","",风险登记册!N17)</f>
        <v/>
      </c>
      <c r="H34" s="32">
        <f>IF($B34="","",风险登记册!O17)</f>
        <v/>
      </c>
      <c r="I34" s="30">
        <f>IF($B34="","",风险登记册!Q17)</f>
        <v/>
      </c>
      <c r="J34" s="32">
        <f>IF($B34="","",风险登记册!R17)</f>
        <v/>
      </c>
      <c r="K34" s="32">
        <f>IF($B34="","",IF($J34="极高","每年必审",IF($J34="高","每年审计",IF($J34="中","两年一轮","按需抽查"))))</f>
        <v/>
      </c>
    </row>
    <row r="35">
      <c r="A35" s="32">
        <f>IF($B35="","",COUNTIFS(风险登记册!$F$4:$F$203,IF($B$2="全部","&lt;&gt;",$B$2),风险登记册!$Q$4:$Q$203,"&gt;"&amp;$I35)+COUNTIFS(风险登记册!$F$4:$F$203,IF($B$2="全部","&lt;&gt;",$B$2),风险登记册!$Q$4:$Q$203,$I35,风险登记册!$A$4:$A$203,"&lt;"&amp;$B35)+1)</f>
        <v/>
      </c>
      <c r="B35" s="32">
        <f>IF($B35="","",风险登记册!A18)</f>
        <v/>
      </c>
      <c r="C35" s="33">
        <f>IF($B35="","",风险登记册!B18)</f>
        <v/>
      </c>
      <c r="D35" s="33">
        <f>IF($B35="","",风险登记册!C18)</f>
        <v/>
      </c>
      <c r="E35" s="33">
        <f>IF($B35="","",风险登记册!E18)</f>
        <v/>
      </c>
      <c r="F35" s="32">
        <f>IF($B35="","",风险登记册!G18)</f>
        <v/>
      </c>
      <c r="G35" s="30">
        <f>IF($B35="","",风险登记册!N18)</f>
        <v/>
      </c>
      <c r="H35" s="32">
        <f>IF($B35="","",风险登记册!O18)</f>
        <v/>
      </c>
      <c r="I35" s="30">
        <f>IF($B35="","",风险登记册!Q18)</f>
        <v/>
      </c>
      <c r="J35" s="32">
        <f>IF($B35="","",风险登记册!R18)</f>
        <v/>
      </c>
      <c r="K35" s="32">
        <f>IF($B35="","",IF($J35="极高","每年必审",IF($J35="高","每年审计",IF($J35="中","两年一轮","按需抽查"))))</f>
        <v/>
      </c>
    </row>
    <row r="36">
      <c r="A36" s="32">
        <f>IF($B36="","",COUNTIFS(风险登记册!$F$4:$F$203,IF($B$2="全部","&lt;&gt;",$B$2),风险登记册!$Q$4:$Q$203,"&gt;"&amp;$I36)+COUNTIFS(风险登记册!$F$4:$F$203,IF($B$2="全部","&lt;&gt;",$B$2),风险登记册!$Q$4:$Q$203,$I36,风险登记册!$A$4:$A$203,"&lt;"&amp;$B36)+1)</f>
        <v/>
      </c>
      <c r="B36" s="32">
        <f>IF($B36="","",风险登记册!A19)</f>
        <v/>
      </c>
      <c r="C36" s="33">
        <f>IF($B36="","",风险登记册!B19)</f>
        <v/>
      </c>
      <c r="D36" s="33">
        <f>IF($B36="","",风险登记册!C19)</f>
        <v/>
      </c>
      <c r="E36" s="33">
        <f>IF($B36="","",风险登记册!E19)</f>
        <v/>
      </c>
      <c r="F36" s="32">
        <f>IF($B36="","",风险登记册!G19)</f>
        <v/>
      </c>
      <c r="G36" s="30">
        <f>IF($B36="","",风险登记册!N19)</f>
        <v/>
      </c>
      <c r="H36" s="32">
        <f>IF($B36="","",风险登记册!O19)</f>
        <v/>
      </c>
      <c r="I36" s="30">
        <f>IF($B36="","",风险登记册!Q19)</f>
        <v/>
      </c>
      <c r="J36" s="32">
        <f>IF($B36="","",风险登记册!R19)</f>
        <v/>
      </c>
      <c r="K36" s="32">
        <f>IF($B36="","",IF($J36="极高","每年必审",IF($J36="高","每年审计",IF($J36="中","两年一轮","按需抽查"))))</f>
        <v/>
      </c>
    </row>
    <row r="37">
      <c r="A37" s="32">
        <f>IF($B37="","",COUNTIFS(风险登记册!$F$4:$F$203,IF($B$2="全部","&lt;&gt;",$B$2),风险登记册!$Q$4:$Q$203,"&gt;"&amp;$I37)+COUNTIFS(风险登记册!$F$4:$F$203,IF($B$2="全部","&lt;&gt;",$B$2),风险登记册!$Q$4:$Q$203,$I37,风险登记册!$A$4:$A$203,"&lt;"&amp;$B37)+1)</f>
        <v/>
      </c>
      <c r="B37" s="32">
        <f>IF($B37="","",风险登记册!A20)</f>
        <v/>
      </c>
      <c r="C37" s="33">
        <f>IF($B37="","",风险登记册!B20)</f>
        <v/>
      </c>
      <c r="D37" s="33">
        <f>IF($B37="","",风险登记册!C20)</f>
        <v/>
      </c>
      <c r="E37" s="33">
        <f>IF($B37="","",风险登记册!E20)</f>
        <v/>
      </c>
      <c r="F37" s="32">
        <f>IF($B37="","",风险登记册!G20)</f>
        <v/>
      </c>
      <c r="G37" s="30">
        <f>IF($B37="","",风险登记册!N20)</f>
        <v/>
      </c>
      <c r="H37" s="32">
        <f>IF($B37="","",风险登记册!O20)</f>
        <v/>
      </c>
      <c r="I37" s="30">
        <f>IF($B37="","",风险登记册!Q20)</f>
        <v/>
      </c>
      <c r="J37" s="32">
        <f>IF($B37="","",风险登记册!R20)</f>
        <v/>
      </c>
      <c r="K37" s="32">
        <f>IF($B37="","",IF($J37="极高","每年必审",IF($J37="高","每年审计",IF($J37="中","两年一轮","按需抽查"))))</f>
        <v/>
      </c>
    </row>
    <row r="38">
      <c r="A38" s="32">
        <f>IF($B38="","",COUNTIFS(风险登记册!$F$4:$F$203,IF($B$2="全部","&lt;&gt;",$B$2),风险登记册!$Q$4:$Q$203,"&gt;"&amp;$I38)+COUNTIFS(风险登记册!$F$4:$F$203,IF($B$2="全部","&lt;&gt;",$B$2),风险登记册!$Q$4:$Q$203,$I38,风险登记册!$A$4:$A$203,"&lt;"&amp;$B38)+1)</f>
        <v/>
      </c>
      <c r="B38" s="32">
        <f>IF($B38="","",风险登记册!A21)</f>
        <v/>
      </c>
      <c r="C38" s="33">
        <f>IF($B38="","",风险登记册!B21)</f>
        <v/>
      </c>
      <c r="D38" s="33">
        <f>IF($B38="","",风险登记册!C21)</f>
        <v/>
      </c>
      <c r="E38" s="33">
        <f>IF($B38="","",风险登记册!E21)</f>
        <v/>
      </c>
      <c r="F38" s="32">
        <f>IF($B38="","",风险登记册!G21)</f>
        <v/>
      </c>
      <c r="G38" s="30">
        <f>IF($B38="","",风险登记册!N21)</f>
        <v/>
      </c>
      <c r="H38" s="32">
        <f>IF($B38="","",风险登记册!O21)</f>
        <v/>
      </c>
      <c r="I38" s="30">
        <f>IF($B38="","",风险登记册!Q21)</f>
        <v/>
      </c>
      <c r="J38" s="32">
        <f>IF($B38="","",风险登记册!R21)</f>
        <v/>
      </c>
      <c r="K38" s="32">
        <f>IF($B38="","",IF($J38="极高","每年必审",IF($J38="高","每年审计",IF($J38="中","两年一轮","按需抽查"))))</f>
        <v/>
      </c>
    </row>
    <row r="39">
      <c r="A39" s="32">
        <f>IF($B39="","",COUNTIFS(风险登记册!$F$4:$F$203,IF($B$2="全部","&lt;&gt;",$B$2),风险登记册!$Q$4:$Q$203,"&gt;"&amp;$I39)+COUNTIFS(风险登记册!$F$4:$F$203,IF($B$2="全部","&lt;&gt;",$B$2),风险登记册!$Q$4:$Q$203,$I39,风险登记册!$A$4:$A$203,"&lt;"&amp;$B39)+1)</f>
        <v/>
      </c>
      <c r="B39" s="32">
        <f>IF($B39="","",风险登记册!A22)</f>
        <v/>
      </c>
      <c r="C39" s="33">
        <f>IF($B39="","",风险登记册!B22)</f>
        <v/>
      </c>
      <c r="D39" s="33">
        <f>IF($B39="","",风险登记册!C22)</f>
        <v/>
      </c>
      <c r="E39" s="33">
        <f>IF($B39="","",风险登记册!E22)</f>
        <v/>
      </c>
      <c r="F39" s="32">
        <f>IF($B39="","",风险登记册!G22)</f>
        <v/>
      </c>
      <c r="G39" s="30">
        <f>IF($B39="","",风险登记册!N22)</f>
        <v/>
      </c>
      <c r="H39" s="32">
        <f>IF($B39="","",风险登记册!O22)</f>
        <v/>
      </c>
      <c r="I39" s="30">
        <f>IF($B39="","",风险登记册!Q22)</f>
        <v/>
      </c>
      <c r="J39" s="32">
        <f>IF($B39="","",风险登记册!R22)</f>
        <v/>
      </c>
      <c r="K39" s="32">
        <f>IF($B39="","",IF($J39="极高","每年必审",IF($J39="高","每年审计",IF($J39="中","两年一轮","按需抽查"))))</f>
        <v/>
      </c>
    </row>
    <row r="40">
      <c r="A40" s="32">
        <f>IF($B40="","",COUNTIFS(风险登记册!$F$4:$F$203,IF($B$2="全部","&lt;&gt;",$B$2),风险登记册!$Q$4:$Q$203,"&gt;"&amp;$I40)+COUNTIFS(风险登记册!$F$4:$F$203,IF($B$2="全部","&lt;&gt;",$B$2),风险登记册!$Q$4:$Q$203,$I40,风险登记册!$A$4:$A$203,"&lt;"&amp;$B40)+1)</f>
        <v/>
      </c>
      <c r="B40" s="32">
        <f>IF($B40="","",风险登记册!A23)</f>
        <v/>
      </c>
      <c r="C40" s="33">
        <f>IF($B40="","",风险登记册!B23)</f>
        <v/>
      </c>
      <c r="D40" s="33">
        <f>IF($B40="","",风险登记册!C23)</f>
        <v/>
      </c>
      <c r="E40" s="33">
        <f>IF($B40="","",风险登记册!E23)</f>
        <v/>
      </c>
      <c r="F40" s="32">
        <f>IF($B40="","",风险登记册!G23)</f>
        <v/>
      </c>
      <c r="G40" s="30">
        <f>IF($B40="","",风险登记册!N23)</f>
        <v/>
      </c>
      <c r="H40" s="32">
        <f>IF($B40="","",风险登记册!O23)</f>
        <v/>
      </c>
      <c r="I40" s="30">
        <f>IF($B40="","",风险登记册!Q23)</f>
        <v/>
      </c>
      <c r="J40" s="32">
        <f>IF($B40="","",风险登记册!R23)</f>
        <v/>
      </c>
      <c r="K40" s="32">
        <f>IF($B40="","",IF($J40="极高","每年必审",IF($J40="高","每年审计",IF($J40="中","两年一轮","按需抽查"))))</f>
        <v/>
      </c>
    </row>
    <row r="41">
      <c r="A41" s="32">
        <f>IF($B41="","",COUNTIFS(风险登记册!$F$4:$F$203,IF($B$2="全部","&lt;&gt;",$B$2),风险登记册!$Q$4:$Q$203,"&gt;"&amp;$I41)+COUNTIFS(风险登记册!$F$4:$F$203,IF($B$2="全部","&lt;&gt;",$B$2),风险登记册!$Q$4:$Q$203,$I41,风险登记册!$A$4:$A$203,"&lt;"&amp;$B41)+1)</f>
        <v/>
      </c>
      <c r="B41" s="32">
        <f>IF($B41="","",风险登记册!A24)</f>
        <v/>
      </c>
      <c r="C41" s="33">
        <f>IF($B41="","",风险登记册!B24)</f>
        <v/>
      </c>
      <c r="D41" s="33">
        <f>IF($B41="","",风险登记册!C24)</f>
        <v/>
      </c>
      <c r="E41" s="33">
        <f>IF($B41="","",风险登记册!E24)</f>
        <v/>
      </c>
      <c r="F41" s="32">
        <f>IF($B41="","",风险登记册!G24)</f>
        <v/>
      </c>
      <c r="G41" s="30">
        <f>IF($B41="","",风险登记册!N24)</f>
        <v/>
      </c>
      <c r="H41" s="32">
        <f>IF($B41="","",风险登记册!O24)</f>
        <v/>
      </c>
      <c r="I41" s="30">
        <f>IF($B41="","",风险登记册!Q24)</f>
        <v/>
      </c>
      <c r="J41" s="32">
        <f>IF($B41="","",风险登记册!R24)</f>
        <v/>
      </c>
      <c r="K41" s="32">
        <f>IF($B41="","",IF($J41="极高","每年必审",IF($J41="高","每年审计",IF($J41="中","两年一轮","按需抽查"))))</f>
        <v/>
      </c>
    </row>
    <row r="42">
      <c r="A42" s="32">
        <f>IF($B42="","",COUNTIFS(风险登记册!$F$4:$F$203,IF($B$2="全部","&lt;&gt;",$B$2),风险登记册!$Q$4:$Q$203,"&gt;"&amp;$I42)+COUNTIFS(风险登记册!$F$4:$F$203,IF($B$2="全部","&lt;&gt;",$B$2),风险登记册!$Q$4:$Q$203,$I42,风险登记册!$A$4:$A$203,"&lt;"&amp;$B42)+1)</f>
        <v/>
      </c>
      <c r="B42" s="32">
        <f>IF($B42="","",风险登记册!A25)</f>
        <v/>
      </c>
      <c r="C42" s="33">
        <f>IF($B42="","",风险登记册!B25)</f>
        <v/>
      </c>
      <c r="D42" s="33">
        <f>IF($B42="","",风险登记册!C25)</f>
        <v/>
      </c>
      <c r="E42" s="33">
        <f>IF($B42="","",风险登记册!E25)</f>
        <v/>
      </c>
      <c r="F42" s="32">
        <f>IF($B42="","",风险登记册!G25)</f>
        <v/>
      </c>
      <c r="G42" s="30">
        <f>IF($B42="","",风险登记册!N25)</f>
        <v/>
      </c>
      <c r="H42" s="32">
        <f>IF($B42="","",风险登记册!O25)</f>
        <v/>
      </c>
      <c r="I42" s="30">
        <f>IF($B42="","",风险登记册!Q25)</f>
        <v/>
      </c>
      <c r="J42" s="32">
        <f>IF($B42="","",风险登记册!R25)</f>
        <v/>
      </c>
      <c r="K42" s="32">
        <f>IF($B42="","",IF($J42="极高","每年必审",IF($J42="高","每年审计",IF($J42="中","两年一轮","按需抽查"))))</f>
        <v/>
      </c>
    </row>
    <row r="43">
      <c r="A43" s="32">
        <f>IF($B43="","",COUNTIFS(风险登记册!$F$4:$F$203,IF($B$2="全部","&lt;&gt;",$B$2),风险登记册!$Q$4:$Q$203,"&gt;"&amp;$I43)+COUNTIFS(风险登记册!$F$4:$F$203,IF($B$2="全部","&lt;&gt;",$B$2),风险登记册!$Q$4:$Q$203,$I43,风险登记册!$A$4:$A$203,"&lt;"&amp;$B43)+1)</f>
        <v/>
      </c>
      <c r="B43" s="32">
        <f>IF($B43="","",风险登记册!A26)</f>
        <v/>
      </c>
      <c r="C43" s="33">
        <f>IF($B43="","",风险登记册!B26)</f>
        <v/>
      </c>
      <c r="D43" s="33">
        <f>IF($B43="","",风险登记册!C26)</f>
        <v/>
      </c>
      <c r="E43" s="33">
        <f>IF($B43="","",风险登记册!E26)</f>
        <v/>
      </c>
      <c r="F43" s="32">
        <f>IF($B43="","",风险登记册!G26)</f>
        <v/>
      </c>
      <c r="G43" s="30">
        <f>IF($B43="","",风险登记册!N26)</f>
        <v/>
      </c>
      <c r="H43" s="32">
        <f>IF($B43="","",风险登记册!O26)</f>
        <v/>
      </c>
      <c r="I43" s="30">
        <f>IF($B43="","",风险登记册!Q26)</f>
        <v/>
      </c>
      <c r="J43" s="32">
        <f>IF($B43="","",风险登记册!R26)</f>
        <v/>
      </c>
      <c r="K43" s="32">
        <f>IF($B43="","",IF($J43="极高","每年必审",IF($J43="高","每年审计",IF($J43="中","两年一轮","按需抽查"))))</f>
        <v/>
      </c>
    </row>
    <row r="44">
      <c r="A44" s="32">
        <f>IF($B44="","",COUNTIFS(风险登记册!$F$4:$F$203,IF($B$2="全部","&lt;&gt;",$B$2),风险登记册!$Q$4:$Q$203,"&gt;"&amp;$I44)+COUNTIFS(风险登记册!$F$4:$F$203,IF($B$2="全部","&lt;&gt;",$B$2),风险登记册!$Q$4:$Q$203,$I44,风险登记册!$A$4:$A$203,"&lt;"&amp;$B44)+1)</f>
        <v/>
      </c>
      <c r="B44" s="32">
        <f>IF($B44="","",风险登记册!A27)</f>
        <v/>
      </c>
      <c r="C44" s="33">
        <f>IF($B44="","",风险登记册!B27)</f>
        <v/>
      </c>
      <c r="D44" s="33">
        <f>IF($B44="","",风险登记册!C27)</f>
        <v/>
      </c>
      <c r="E44" s="33">
        <f>IF($B44="","",风险登记册!E27)</f>
        <v/>
      </c>
      <c r="F44" s="32">
        <f>IF($B44="","",风险登记册!G27)</f>
        <v/>
      </c>
      <c r="G44" s="30">
        <f>IF($B44="","",风险登记册!N27)</f>
        <v/>
      </c>
      <c r="H44" s="32">
        <f>IF($B44="","",风险登记册!O27)</f>
        <v/>
      </c>
      <c r="I44" s="30">
        <f>IF($B44="","",风险登记册!Q27)</f>
        <v/>
      </c>
      <c r="J44" s="32">
        <f>IF($B44="","",风险登记册!R27)</f>
        <v/>
      </c>
      <c r="K44" s="32">
        <f>IF($B44="","",IF($J44="极高","每年必审",IF($J44="高","每年审计",IF($J44="中","两年一轮","按需抽查"))))</f>
        <v/>
      </c>
    </row>
    <row r="45">
      <c r="A45" s="32">
        <f>IF($B45="","",COUNTIFS(风险登记册!$F$4:$F$203,IF($B$2="全部","&lt;&gt;",$B$2),风险登记册!$Q$4:$Q$203,"&gt;"&amp;$I45)+COUNTIFS(风险登记册!$F$4:$F$203,IF($B$2="全部","&lt;&gt;",$B$2),风险登记册!$Q$4:$Q$203,$I45,风险登记册!$A$4:$A$203,"&lt;"&amp;$B45)+1)</f>
        <v/>
      </c>
      <c r="B45" s="32">
        <f>IF($B45="","",风险登记册!A28)</f>
        <v/>
      </c>
      <c r="C45" s="33">
        <f>IF($B45="","",风险登记册!B28)</f>
        <v/>
      </c>
      <c r="D45" s="33">
        <f>IF($B45="","",风险登记册!C28)</f>
        <v/>
      </c>
      <c r="E45" s="33">
        <f>IF($B45="","",风险登记册!E28)</f>
        <v/>
      </c>
      <c r="F45" s="32">
        <f>IF($B45="","",风险登记册!G28)</f>
        <v/>
      </c>
      <c r="G45" s="30">
        <f>IF($B45="","",风险登记册!N28)</f>
        <v/>
      </c>
      <c r="H45" s="32">
        <f>IF($B45="","",风险登记册!O28)</f>
        <v/>
      </c>
      <c r="I45" s="30">
        <f>IF($B45="","",风险登记册!Q28)</f>
        <v/>
      </c>
      <c r="J45" s="32">
        <f>IF($B45="","",风险登记册!R28)</f>
        <v/>
      </c>
      <c r="K45" s="32">
        <f>IF($B45="","",IF($J45="极高","每年必审",IF($J45="高","每年审计",IF($J45="中","两年一轮","按需抽查"))))</f>
        <v/>
      </c>
    </row>
    <row r="46">
      <c r="A46" s="32">
        <f>IF($B46="","",COUNTIFS(风险登记册!$F$4:$F$203,IF($B$2="全部","&lt;&gt;",$B$2),风险登记册!$Q$4:$Q$203,"&gt;"&amp;$I46)+COUNTIFS(风险登记册!$F$4:$F$203,IF($B$2="全部","&lt;&gt;",$B$2),风险登记册!$Q$4:$Q$203,$I46,风险登记册!$A$4:$A$203,"&lt;"&amp;$B46)+1)</f>
        <v/>
      </c>
      <c r="B46" s="32">
        <f>IF($B46="","",风险登记册!A29)</f>
        <v/>
      </c>
      <c r="C46" s="33">
        <f>IF($B46="","",风险登记册!B29)</f>
        <v/>
      </c>
      <c r="D46" s="33">
        <f>IF($B46="","",风险登记册!C29)</f>
        <v/>
      </c>
      <c r="E46" s="33">
        <f>IF($B46="","",风险登记册!E29)</f>
        <v/>
      </c>
      <c r="F46" s="32">
        <f>IF($B46="","",风险登记册!G29)</f>
        <v/>
      </c>
      <c r="G46" s="30">
        <f>IF($B46="","",风险登记册!N29)</f>
        <v/>
      </c>
      <c r="H46" s="32">
        <f>IF($B46="","",风险登记册!O29)</f>
        <v/>
      </c>
      <c r="I46" s="30">
        <f>IF($B46="","",风险登记册!Q29)</f>
        <v/>
      </c>
      <c r="J46" s="32">
        <f>IF($B46="","",风险登记册!R29)</f>
        <v/>
      </c>
      <c r="K46" s="32">
        <f>IF($B46="","",IF($J46="极高","每年必审",IF($J46="高","每年审计",IF($J46="中","两年一轮","按需抽查"))))</f>
        <v/>
      </c>
    </row>
    <row r="47">
      <c r="A47" s="32">
        <f>IF($B47="","",COUNTIFS(风险登记册!$F$4:$F$203,IF($B$2="全部","&lt;&gt;",$B$2),风险登记册!$Q$4:$Q$203,"&gt;"&amp;$I47)+COUNTIFS(风险登记册!$F$4:$F$203,IF($B$2="全部","&lt;&gt;",$B$2),风险登记册!$Q$4:$Q$203,$I47,风险登记册!$A$4:$A$203,"&lt;"&amp;$B47)+1)</f>
        <v/>
      </c>
      <c r="B47" s="32">
        <f>IF($B47="","",风险登记册!A30)</f>
        <v/>
      </c>
      <c r="C47" s="33">
        <f>IF($B47="","",风险登记册!B30)</f>
        <v/>
      </c>
      <c r="D47" s="33">
        <f>IF($B47="","",风险登记册!C30)</f>
        <v/>
      </c>
      <c r="E47" s="33">
        <f>IF($B47="","",风险登记册!E30)</f>
        <v/>
      </c>
      <c r="F47" s="32">
        <f>IF($B47="","",风险登记册!G30)</f>
        <v/>
      </c>
      <c r="G47" s="30">
        <f>IF($B47="","",风险登记册!N30)</f>
        <v/>
      </c>
      <c r="H47" s="32">
        <f>IF($B47="","",风险登记册!O30)</f>
        <v/>
      </c>
      <c r="I47" s="30">
        <f>IF($B47="","",风险登记册!Q30)</f>
        <v/>
      </c>
      <c r="J47" s="32">
        <f>IF($B47="","",风险登记册!R30)</f>
        <v/>
      </c>
      <c r="K47" s="32">
        <f>IF($B47="","",IF($J47="极高","每年必审",IF($J47="高","每年审计",IF($J47="中","两年一轮","按需抽查"))))</f>
        <v/>
      </c>
    </row>
    <row r="48">
      <c r="A48" s="32">
        <f>IF($B48="","",COUNTIFS(风险登记册!$F$4:$F$203,IF($B$2="全部","&lt;&gt;",$B$2),风险登记册!$Q$4:$Q$203,"&gt;"&amp;$I48)+COUNTIFS(风险登记册!$F$4:$F$203,IF($B$2="全部","&lt;&gt;",$B$2),风险登记册!$Q$4:$Q$203,$I48,风险登记册!$A$4:$A$203,"&lt;"&amp;$B48)+1)</f>
        <v/>
      </c>
      <c r="B48" s="32">
        <f>IF($B48="","",风险登记册!A31)</f>
        <v/>
      </c>
      <c r="C48" s="33">
        <f>IF($B48="","",风险登记册!B31)</f>
        <v/>
      </c>
      <c r="D48" s="33">
        <f>IF($B48="","",风险登记册!C31)</f>
        <v/>
      </c>
      <c r="E48" s="33">
        <f>IF($B48="","",风险登记册!E31)</f>
        <v/>
      </c>
      <c r="F48" s="32">
        <f>IF($B48="","",风险登记册!G31)</f>
        <v/>
      </c>
      <c r="G48" s="30">
        <f>IF($B48="","",风险登记册!N31)</f>
        <v/>
      </c>
      <c r="H48" s="32">
        <f>IF($B48="","",风险登记册!O31)</f>
        <v/>
      </c>
      <c r="I48" s="30">
        <f>IF($B48="","",风险登记册!Q31)</f>
        <v/>
      </c>
      <c r="J48" s="32">
        <f>IF($B48="","",风险登记册!R31)</f>
        <v/>
      </c>
      <c r="K48" s="32">
        <f>IF($B48="","",IF($J48="极高","每年必审",IF($J48="高","每年审计",IF($J48="中","两年一轮","按需抽查"))))</f>
        <v/>
      </c>
    </row>
    <row r="49">
      <c r="A49" s="32">
        <f>IF($B49="","",COUNTIFS(风险登记册!$F$4:$F$203,IF($B$2="全部","&lt;&gt;",$B$2),风险登记册!$Q$4:$Q$203,"&gt;"&amp;$I49)+COUNTIFS(风险登记册!$F$4:$F$203,IF($B$2="全部","&lt;&gt;",$B$2),风险登记册!$Q$4:$Q$203,$I49,风险登记册!$A$4:$A$203,"&lt;"&amp;$B49)+1)</f>
        <v/>
      </c>
      <c r="B49" s="32">
        <f>IF($B49="","",风险登记册!A32)</f>
        <v/>
      </c>
      <c r="C49" s="33">
        <f>IF($B49="","",风险登记册!B32)</f>
        <v/>
      </c>
      <c r="D49" s="33">
        <f>IF($B49="","",风险登记册!C32)</f>
        <v/>
      </c>
      <c r="E49" s="33">
        <f>IF($B49="","",风险登记册!E32)</f>
        <v/>
      </c>
      <c r="F49" s="32">
        <f>IF($B49="","",风险登记册!G32)</f>
        <v/>
      </c>
      <c r="G49" s="30">
        <f>IF($B49="","",风险登记册!N32)</f>
        <v/>
      </c>
      <c r="H49" s="32">
        <f>IF($B49="","",风险登记册!O32)</f>
        <v/>
      </c>
      <c r="I49" s="30">
        <f>IF($B49="","",风险登记册!Q32)</f>
        <v/>
      </c>
      <c r="J49" s="32">
        <f>IF($B49="","",风险登记册!R32)</f>
        <v/>
      </c>
      <c r="K49" s="32">
        <f>IF($B49="","",IF($J49="极高","每年必审",IF($J49="高","每年审计",IF($J49="中","两年一轮","按需抽查"))))</f>
        <v/>
      </c>
    </row>
    <row r="50">
      <c r="A50" s="32">
        <f>IF($B50="","",COUNTIFS(风险登记册!$F$4:$F$203,IF($B$2="全部","&lt;&gt;",$B$2),风险登记册!$Q$4:$Q$203,"&gt;"&amp;$I50)+COUNTIFS(风险登记册!$F$4:$F$203,IF($B$2="全部","&lt;&gt;",$B$2),风险登记册!$Q$4:$Q$203,$I50,风险登记册!$A$4:$A$203,"&lt;"&amp;$B50)+1)</f>
        <v/>
      </c>
      <c r="B50" s="32">
        <f>IF($B50="","",风险登记册!A33)</f>
        <v/>
      </c>
      <c r="C50" s="33">
        <f>IF($B50="","",风险登记册!B33)</f>
        <v/>
      </c>
      <c r="D50" s="33">
        <f>IF($B50="","",风险登记册!C33)</f>
        <v/>
      </c>
      <c r="E50" s="33">
        <f>IF($B50="","",风险登记册!E33)</f>
        <v/>
      </c>
      <c r="F50" s="32">
        <f>IF($B50="","",风险登记册!G33)</f>
        <v/>
      </c>
      <c r="G50" s="30">
        <f>IF($B50="","",风险登记册!N33)</f>
        <v/>
      </c>
      <c r="H50" s="32">
        <f>IF($B50="","",风险登记册!O33)</f>
        <v/>
      </c>
      <c r="I50" s="30">
        <f>IF($B50="","",风险登记册!Q33)</f>
        <v/>
      </c>
      <c r="J50" s="32">
        <f>IF($B50="","",风险登记册!R33)</f>
        <v/>
      </c>
      <c r="K50" s="32">
        <f>IF($B50="","",IF($J50="极高","每年必审",IF($J50="高","每年审计",IF($J50="中","两年一轮","按需抽查"))))</f>
        <v/>
      </c>
    </row>
    <row r="51">
      <c r="A51" s="32">
        <f>IF($B51="","",COUNTIFS(风险登记册!$F$4:$F$203,IF($B$2="全部","&lt;&gt;",$B$2),风险登记册!$Q$4:$Q$203,"&gt;"&amp;$I51)+COUNTIFS(风险登记册!$F$4:$F$203,IF($B$2="全部","&lt;&gt;",$B$2),风险登记册!$Q$4:$Q$203,$I51,风险登记册!$A$4:$A$203,"&lt;"&amp;$B51)+1)</f>
        <v/>
      </c>
      <c r="B51" s="32">
        <f>IF($B51="","",风险登记册!A34)</f>
        <v/>
      </c>
      <c r="C51" s="33">
        <f>IF($B51="","",风险登记册!B34)</f>
        <v/>
      </c>
      <c r="D51" s="33">
        <f>IF($B51="","",风险登记册!C34)</f>
        <v/>
      </c>
      <c r="E51" s="33">
        <f>IF($B51="","",风险登记册!E34)</f>
        <v/>
      </c>
      <c r="F51" s="32">
        <f>IF($B51="","",风险登记册!G34)</f>
        <v/>
      </c>
      <c r="G51" s="30">
        <f>IF($B51="","",风险登记册!N34)</f>
        <v/>
      </c>
      <c r="H51" s="32">
        <f>IF($B51="","",风险登记册!O34)</f>
        <v/>
      </c>
      <c r="I51" s="30">
        <f>IF($B51="","",风险登记册!Q34)</f>
        <v/>
      </c>
      <c r="J51" s="32">
        <f>IF($B51="","",风险登记册!R34)</f>
        <v/>
      </c>
      <c r="K51" s="32">
        <f>IF($B51="","",IF($J51="极高","每年必审",IF($J51="高","每年审计",IF($J51="中","两年一轮","按需抽查"))))</f>
        <v/>
      </c>
    </row>
    <row r="52">
      <c r="A52" s="32">
        <f>IF($B52="","",COUNTIFS(风险登记册!$F$4:$F$203,IF($B$2="全部","&lt;&gt;",$B$2),风险登记册!$Q$4:$Q$203,"&gt;"&amp;$I52)+COUNTIFS(风险登记册!$F$4:$F$203,IF($B$2="全部","&lt;&gt;",$B$2),风险登记册!$Q$4:$Q$203,$I52,风险登记册!$A$4:$A$203,"&lt;"&amp;$B52)+1)</f>
        <v/>
      </c>
      <c r="B52" s="32">
        <f>IF($B52="","",风险登记册!A35)</f>
        <v/>
      </c>
      <c r="C52" s="33">
        <f>IF($B52="","",风险登记册!B35)</f>
        <v/>
      </c>
      <c r="D52" s="33">
        <f>IF($B52="","",风险登记册!C35)</f>
        <v/>
      </c>
      <c r="E52" s="33">
        <f>IF($B52="","",风险登记册!E35)</f>
        <v/>
      </c>
      <c r="F52" s="32">
        <f>IF($B52="","",风险登记册!G35)</f>
        <v/>
      </c>
      <c r="G52" s="30">
        <f>IF($B52="","",风险登记册!N35)</f>
        <v/>
      </c>
      <c r="H52" s="32">
        <f>IF($B52="","",风险登记册!O35)</f>
        <v/>
      </c>
      <c r="I52" s="30">
        <f>IF($B52="","",风险登记册!Q35)</f>
        <v/>
      </c>
      <c r="J52" s="32">
        <f>IF($B52="","",风险登记册!R35)</f>
        <v/>
      </c>
      <c r="K52" s="32">
        <f>IF($B52="","",IF($J52="极高","每年必审",IF($J52="高","每年审计",IF($J52="中","两年一轮","按需抽查"))))</f>
        <v/>
      </c>
    </row>
    <row r="53">
      <c r="A53" s="32">
        <f>IF($B53="","",COUNTIFS(风险登记册!$F$4:$F$203,IF($B$2="全部","&lt;&gt;",$B$2),风险登记册!$Q$4:$Q$203,"&gt;"&amp;$I53)+COUNTIFS(风险登记册!$F$4:$F$203,IF($B$2="全部","&lt;&gt;",$B$2),风险登记册!$Q$4:$Q$203,$I53,风险登记册!$A$4:$A$203,"&lt;"&amp;$B53)+1)</f>
        <v/>
      </c>
      <c r="B53" s="32">
        <f>IF($B53="","",风险登记册!A36)</f>
        <v/>
      </c>
      <c r="C53" s="33">
        <f>IF($B53="","",风险登记册!B36)</f>
        <v/>
      </c>
      <c r="D53" s="33">
        <f>IF($B53="","",风险登记册!C36)</f>
        <v/>
      </c>
      <c r="E53" s="33">
        <f>IF($B53="","",风险登记册!E36)</f>
        <v/>
      </c>
      <c r="F53" s="32">
        <f>IF($B53="","",风险登记册!G36)</f>
        <v/>
      </c>
      <c r="G53" s="30">
        <f>IF($B53="","",风险登记册!N36)</f>
        <v/>
      </c>
      <c r="H53" s="32">
        <f>IF($B53="","",风险登记册!O36)</f>
        <v/>
      </c>
      <c r="I53" s="30">
        <f>IF($B53="","",风险登记册!Q36)</f>
        <v/>
      </c>
      <c r="J53" s="32">
        <f>IF($B53="","",风险登记册!R36)</f>
        <v/>
      </c>
      <c r="K53" s="32">
        <f>IF($B53="","",IF($J53="极高","每年必审",IF($J53="高","每年审计",IF($J53="中","两年一轮","按需抽查"))))</f>
        <v/>
      </c>
    </row>
    <row r="54">
      <c r="A54" s="32">
        <f>IF($B54="","",COUNTIFS(风险登记册!$F$4:$F$203,IF($B$2="全部","&lt;&gt;",$B$2),风险登记册!$Q$4:$Q$203,"&gt;"&amp;$I54)+COUNTIFS(风险登记册!$F$4:$F$203,IF($B$2="全部","&lt;&gt;",$B$2),风险登记册!$Q$4:$Q$203,$I54,风险登记册!$A$4:$A$203,"&lt;"&amp;$B54)+1)</f>
        <v/>
      </c>
      <c r="B54" s="32">
        <f>IF($B54="","",风险登记册!A37)</f>
        <v/>
      </c>
      <c r="C54" s="33">
        <f>IF($B54="","",风险登记册!B37)</f>
        <v/>
      </c>
      <c r="D54" s="33">
        <f>IF($B54="","",风险登记册!C37)</f>
        <v/>
      </c>
      <c r="E54" s="33">
        <f>IF($B54="","",风险登记册!E37)</f>
        <v/>
      </c>
      <c r="F54" s="32">
        <f>IF($B54="","",风险登记册!G37)</f>
        <v/>
      </c>
      <c r="G54" s="30">
        <f>IF($B54="","",风险登记册!N37)</f>
        <v/>
      </c>
      <c r="H54" s="32">
        <f>IF($B54="","",风险登记册!O37)</f>
        <v/>
      </c>
      <c r="I54" s="30">
        <f>IF($B54="","",风险登记册!Q37)</f>
        <v/>
      </c>
      <c r="J54" s="32">
        <f>IF($B54="","",风险登记册!R37)</f>
        <v/>
      </c>
      <c r="K54" s="32">
        <f>IF($B54="","",IF($J54="极高","每年必审",IF($J54="高","每年审计",IF($J54="中","两年一轮","按需抽查"))))</f>
        <v/>
      </c>
    </row>
    <row r="55">
      <c r="A55" s="32">
        <f>IF($B55="","",COUNTIFS(风险登记册!$F$4:$F$203,IF($B$2="全部","&lt;&gt;",$B$2),风险登记册!$Q$4:$Q$203,"&gt;"&amp;$I55)+COUNTIFS(风险登记册!$F$4:$F$203,IF($B$2="全部","&lt;&gt;",$B$2),风险登记册!$Q$4:$Q$203,$I55,风险登记册!$A$4:$A$203,"&lt;"&amp;$B55)+1)</f>
        <v/>
      </c>
      <c r="B55" s="32">
        <f>IF($B55="","",风险登记册!A38)</f>
        <v/>
      </c>
      <c r="C55" s="33">
        <f>IF($B55="","",风险登记册!B38)</f>
        <v/>
      </c>
      <c r="D55" s="33">
        <f>IF($B55="","",风险登记册!C38)</f>
        <v/>
      </c>
      <c r="E55" s="33">
        <f>IF($B55="","",风险登记册!E38)</f>
        <v/>
      </c>
      <c r="F55" s="32">
        <f>IF($B55="","",风险登记册!G38)</f>
        <v/>
      </c>
      <c r="G55" s="30">
        <f>IF($B55="","",风险登记册!N38)</f>
        <v/>
      </c>
      <c r="H55" s="32">
        <f>IF($B55="","",风险登记册!O38)</f>
        <v/>
      </c>
      <c r="I55" s="30">
        <f>IF($B55="","",风险登记册!Q38)</f>
        <v/>
      </c>
      <c r="J55" s="32">
        <f>IF($B55="","",风险登记册!R38)</f>
        <v/>
      </c>
      <c r="K55" s="32">
        <f>IF($B55="","",IF($J55="极高","每年必审",IF($J55="高","每年审计",IF($J55="中","两年一轮","按需抽查"))))</f>
        <v/>
      </c>
    </row>
    <row r="56">
      <c r="A56" s="32">
        <f>IF($B56="","",COUNTIFS(风险登记册!$F$4:$F$203,IF($B$2="全部","&lt;&gt;",$B$2),风险登记册!$Q$4:$Q$203,"&gt;"&amp;$I56)+COUNTIFS(风险登记册!$F$4:$F$203,IF($B$2="全部","&lt;&gt;",$B$2),风险登记册!$Q$4:$Q$203,$I56,风险登记册!$A$4:$A$203,"&lt;"&amp;$B56)+1)</f>
        <v/>
      </c>
      <c r="B56" s="32">
        <f>IF($B56="","",风险登记册!A39)</f>
        <v/>
      </c>
      <c r="C56" s="33">
        <f>IF($B56="","",风险登记册!B39)</f>
        <v/>
      </c>
      <c r="D56" s="33">
        <f>IF($B56="","",风险登记册!C39)</f>
        <v/>
      </c>
      <c r="E56" s="33">
        <f>IF($B56="","",风险登记册!E39)</f>
        <v/>
      </c>
      <c r="F56" s="32">
        <f>IF($B56="","",风险登记册!G39)</f>
        <v/>
      </c>
      <c r="G56" s="30">
        <f>IF($B56="","",风险登记册!N39)</f>
        <v/>
      </c>
      <c r="H56" s="32">
        <f>IF($B56="","",风险登记册!O39)</f>
        <v/>
      </c>
      <c r="I56" s="30">
        <f>IF($B56="","",风险登记册!Q39)</f>
        <v/>
      </c>
      <c r="J56" s="32">
        <f>IF($B56="","",风险登记册!R39)</f>
        <v/>
      </c>
      <c r="K56" s="32">
        <f>IF($B56="","",IF($J56="极高","每年必审",IF($J56="高","每年审计",IF($J56="中","两年一轮","按需抽查"))))</f>
        <v/>
      </c>
    </row>
    <row r="57">
      <c r="A57" s="32">
        <f>IF($B57="","",COUNTIFS(风险登记册!$F$4:$F$203,IF($B$2="全部","&lt;&gt;",$B$2),风险登记册!$Q$4:$Q$203,"&gt;"&amp;$I57)+COUNTIFS(风险登记册!$F$4:$F$203,IF($B$2="全部","&lt;&gt;",$B$2),风险登记册!$Q$4:$Q$203,$I57,风险登记册!$A$4:$A$203,"&lt;"&amp;$B57)+1)</f>
        <v/>
      </c>
      <c r="B57" s="32">
        <f>IF($B57="","",风险登记册!A40)</f>
        <v/>
      </c>
      <c r="C57" s="33">
        <f>IF($B57="","",风险登记册!B40)</f>
        <v/>
      </c>
      <c r="D57" s="33">
        <f>IF($B57="","",风险登记册!C40)</f>
        <v/>
      </c>
      <c r="E57" s="33">
        <f>IF($B57="","",风险登记册!E40)</f>
        <v/>
      </c>
      <c r="F57" s="32">
        <f>IF($B57="","",风险登记册!G40)</f>
        <v/>
      </c>
      <c r="G57" s="30">
        <f>IF($B57="","",风险登记册!N40)</f>
        <v/>
      </c>
      <c r="H57" s="32">
        <f>IF($B57="","",风险登记册!O40)</f>
        <v/>
      </c>
      <c r="I57" s="30">
        <f>IF($B57="","",风险登记册!Q40)</f>
        <v/>
      </c>
      <c r="J57" s="32">
        <f>IF($B57="","",风险登记册!R40)</f>
        <v/>
      </c>
      <c r="K57" s="32">
        <f>IF($B57="","",IF($J57="极高","每年必审",IF($J57="高","每年审计",IF($J57="中","两年一轮","按需抽查"))))</f>
        <v/>
      </c>
    </row>
    <row r="58">
      <c r="A58" s="32">
        <f>IF($B58="","",COUNTIFS(风险登记册!$F$4:$F$203,IF($B$2="全部","&lt;&gt;",$B$2),风险登记册!$Q$4:$Q$203,"&gt;"&amp;$I58)+COUNTIFS(风险登记册!$F$4:$F$203,IF($B$2="全部","&lt;&gt;",$B$2),风险登记册!$Q$4:$Q$203,$I58,风险登记册!$A$4:$A$203,"&lt;"&amp;$B58)+1)</f>
        <v/>
      </c>
      <c r="B58" s="32">
        <f>IF($B58="","",风险登记册!A41)</f>
        <v/>
      </c>
      <c r="C58" s="33">
        <f>IF($B58="","",风险登记册!B41)</f>
        <v/>
      </c>
      <c r="D58" s="33">
        <f>IF($B58="","",风险登记册!C41)</f>
        <v/>
      </c>
      <c r="E58" s="33">
        <f>IF($B58="","",风险登记册!E41)</f>
        <v/>
      </c>
      <c r="F58" s="32">
        <f>IF($B58="","",风险登记册!G41)</f>
        <v/>
      </c>
      <c r="G58" s="30">
        <f>IF($B58="","",风险登记册!N41)</f>
        <v/>
      </c>
      <c r="H58" s="32">
        <f>IF($B58="","",风险登记册!O41)</f>
        <v/>
      </c>
      <c r="I58" s="30">
        <f>IF($B58="","",风险登记册!Q41)</f>
        <v/>
      </c>
      <c r="J58" s="32">
        <f>IF($B58="","",风险登记册!R41)</f>
        <v/>
      </c>
      <c r="K58" s="32">
        <f>IF($B58="","",IF($J58="极高","每年必审",IF($J58="高","每年审计",IF($J58="中","两年一轮","按需抽查"))))</f>
        <v/>
      </c>
    </row>
    <row r="59">
      <c r="A59" s="32">
        <f>IF($B59="","",COUNTIFS(风险登记册!$F$4:$F$203,IF($B$2="全部","&lt;&gt;",$B$2),风险登记册!$Q$4:$Q$203,"&gt;"&amp;$I59)+COUNTIFS(风险登记册!$F$4:$F$203,IF($B$2="全部","&lt;&gt;",$B$2),风险登记册!$Q$4:$Q$203,$I59,风险登记册!$A$4:$A$203,"&lt;"&amp;$B59)+1)</f>
        <v/>
      </c>
      <c r="B59" s="32">
        <f>IF($B59="","",风险登记册!A42)</f>
        <v/>
      </c>
      <c r="C59" s="33">
        <f>IF($B59="","",风险登记册!B42)</f>
        <v/>
      </c>
      <c r="D59" s="33">
        <f>IF($B59="","",风险登记册!C42)</f>
        <v/>
      </c>
      <c r="E59" s="33">
        <f>IF($B59="","",风险登记册!E42)</f>
        <v/>
      </c>
      <c r="F59" s="32">
        <f>IF($B59="","",风险登记册!G42)</f>
        <v/>
      </c>
      <c r="G59" s="30">
        <f>IF($B59="","",风险登记册!N42)</f>
        <v/>
      </c>
      <c r="H59" s="32">
        <f>IF($B59="","",风险登记册!O42)</f>
        <v/>
      </c>
      <c r="I59" s="30">
        <f>IF($B59="","",风险登记册!Q42)</f>
        <v/>
      </c>
      <c r="J59" s="32">
        <f>IF($B59="","",风险登记册!R42)</f>
        <v/>
      </c>
      <c r="K59" s="32">
        <f>IF($B59="","",IF($J59="极高","每年必审",IF($J59="高","每年审计",IF($J59="中","两年一轮","按需抽查"))))</f>
        <v/>
      </c>
    </row>
    <row r="60">
      <c r="A60" s="32">
        <f>IF($B60="","",COUNTIFS(风险登记册!$F$4:$F$203,IF($B$2="全部","&lt;&gt;",$B$2),风险登记册!$Q$4:$Q$203,"&gt;"&amp;$I60)+COUNTIFS(风险登记册!$F$4:$F$203,IF($B$2="全部","&lt;&gt;",$B$2),风险登记册!$Q$4:$Q$203,$I60,风险登记册!$A$4:$A$203,"&lt;"&amp;$B60)+1)</f>
        <v/>
      </c>
      <c r="B60" s="32">
        <f>IF($B60="","",风险登记册!A43)</f>
        <v/>
      </c>
      <c r="C60" s="33">
        <f>IF($B60="","",风险登记册!B43)</f>
        <v/>
      </c>
      <c r="D60" s="33">
        <f>IF($B60="","",风险登记册!C43)</f>
        <v/>
      </c>
      <c r="E60" s="33">
        <f>IF($B60="","",风险登记册!E43)</f>
        <v/>
      </c>
      <c r="F60" s="32">
        <f>IF($B60="","",风险登记册!G43)</f>
        <v/>
      </c>
      <c r="G60" s="30">
        <f>IF($B60="","",风险登记册!N43)</f>
        <v/>
      </c>
      <c r="H60" s="32">
        <f>IF($B60="","",风险登记册!O43)</f>
        <v/>
      </c>
      <c r="I60" s="30">
        <f>IF($B60="","",风险登记册!Q43)</f>
        <v/>
      </c>
      <c r="J60" s="32">
        <f>IF($B60="","",风险登记册!R43)</f>
        <v/>
      </c>
      <c r="K60" s="32">
        <f>IF($B60="","",IF($J60="极高","每年必审",IF($J60="高","每年审计",IF($J60="中","两年一轮","按需抽查"))))</f>
        <v/>
      </c>
    </row>
    <row r="61">
      <c r="A61" s="32">
        <f>IF($B61="","",COUNTIFS(风险登记册!$F$4:$F$203,IF($B$2="全部","&lt;&gt;",$B$2),风险登记册!$Q$4:$Q$203,"&gt;"&amp;$I61)+COUNTIFS(风险登记册!$F$4:$F$203,IF($B$2="全部","&lt;&gt;",$B$2),风险登记册!$Q$4:$Q$203,$I61,风险登记册!$A$4:$A$203,"&lt;"&amp;$B61)+1)</f>
        <v/>
      </c>
      <c r="B61" s="32">
        <f>IF($B61="","",风险登记册!A44)</f>
        <v/>
      </c>
      <c r="C61" s="33">
        <f>IF($B61="","",风险登记册!B44)</f>
        <v/>
      </c>
      <c r="D61" s="33">
        <f>IF($B61="","",风险登记册!C44)</f>
        <v/>
      </c>
      <c r="E61" s="33">
        <f>IF($B61="","",风险登记册!E44)</f>
        <v/>
      </c>
      <c r="F61" s="32">
        <f>IF($B61="","",风险登记册!G44)</f>
        <v/>
      </c>
      <c r="G61" s="30">
        <f>IF($B61="","",风险登记册!N44)</f>
        <v/>
      </c>
      <c r="H61" s="32">
        <f>IF($B61="","",风险登记册!O44)</f>
        <v/>
      </c>
      <c r="I61" s="30">
        <f>IF($B61="","",风险登记册!Q44)</f>
        <v/>
      </c>
      <c r="J61" s="32">
        <f>IF($B61="","",风险登记册!R44)</f>
        <v/>
      </c>
      <c r="K61" s="32">
        <f>IF($B61="","",IF($J61="极高","每年必审",IF($J61="高","每年审计",IF($J61="中","两年一轮","按需抽查"))))</f>
        <v/>
      </c>
    </row>
    <row r="62">
      <c r="A62" s="32">
        <f>IF($B62="","",COUNTIFS(风险登记册!$F$4:$F$203,IF($B$2="全部","&lt;&gt;",$B$2),风险登记册!$Q$4:$Q$203,"&gt;"&amp;$I62)+COUNTIFS(风险登记册!$F$4:$F$203,IF($B$2="全部","&lt;&gt;",$B$2),风险登记册!$Q$4:$Q$203,$I62,风险登记册!$A$4:$A$203,"&lt;"&amp;$B62)+1)</f>
        <v/>
      </c>
      <c r="B62" s="32">
        <f>IF($B62="","",风险登记册!A45)</f>
        <v/>
      </c>
      <c r="C62" s="33">
        <f>IF($B62="","",风险登记册!B45)</f>
        <v/>
      </c>
      <c r="D62" s="33">
        <f>IF($B62="","",风险登记册!C45)</f>
        <v/>
      </c>
      <c r="E62" s="33">
        <f>IF($B62="","",风险登记册!E45)</f>
        <v/>
      </c>
      <c r="F62" s="32">
        <f>IF($B62="","",风险登记册!G45)</f>
        <v/>
      </c>
      <c r="G62" s="30">
        <f>IF($B62="","",风险登记册!N45)</f>
        <v/>
      </c>
      <c r="H62" s="32">
        <f>IF($B62="","",风险登记册!O45)</f>
        <v/>
      </c>
      <c r="I62" s="30">
        <f>IF($B62="","",风险登记册!Q45)</f>
        <v/>
      </c>
      <c r="J62" s="32">
        <f>IF($B62="","",风险登记册!R45)</f>
        <v/>
      </c>
      <c r="K62" s="32">
        <f>IF($B62="","",IF($J62="极高","每年必审",IF($J62="高","每年审计",IF($J62="中","两年一轮","按需抽查"))))</f>
        <v/>
      </c>
    </row>
    <row r="63">
      <c r="A63" s="32">
        <f>IF($B63="","",COUNTIFS(风险登记册!$F$4:$F$203,IF($B$2="全部","&lt;&gt;",$B$2),风险登记册!$Q$4:$Q$203,"&gt;"&amp;$I63)+COUNTIFS(风险登记册!$F$4:$F$203,IF($B$2="全部","&lt;&gt;",$B$2),风险登记册!$Q$4:$Q$203,$I63,风险登记册!$A$4:$A$203,"&lt;"&amp;$B63)+1)</f>
        <v/>
      </c>
      <c r="B63" s="32">
        <f>IF($B63="","",风险登记册!A46)</f>
        <v/>
      </c>
      <c r="C63" s="33">
        <f>IF($B63="","",风险登记册!B46)</f>
        <v/>
      </c>
      <c r="D63" s="33">
        <f>IF($B63="","",风险登记册!C46)</f>
        <v/>
      </c>
      <c r="E63" s="33">
        <f>IF($B63="","",风险登记册!E46)</f>
        <v/>
      </c>
      <c r="F63" s="32">
        <f>IF($B63="","",风险登记册!G46)</f>
        <v/>
      </c>
      <c r="G63" s="30">
        <f>IF($B63="","",风险登记册!N46)</f>
        <v/>
      </c>
      <c r="H63" s="32">
        <f>IF($B63="","",风险登记册!O46)</f>
        <v/>
      </c>
      <c r="I63" s="30">
        <f>IF($B63="","",风险登记册!Q46)</f>
        <v/>
      </c>
      <c r="J63" s="32">
        <f>IF($B63="","",风险登记册!R46)</f>
        <v/>
      </c>
      <c r="K63" s="32">
        <f>IF($B63="","",IF($J63="极高","每年必审",IF($J63="高","每年审计",IF($J63="中","两年一轮","按需抽查"))))</f>
        <v/>
      </c>
    </row>
    <row r="64">
      <c r="A64" s="32">
        <f>IF($B64="","",COUNTIFS(风险登记册!$F$4:$F$203,IF($B$2="全部","&lt;&gt;",$B$2),风险登记册!$Q$4:$Q$203,"&gt;"&amp;$I64)+COUNTIFS(风险登记册!$F$4:$F$203,IF($B$2="全部","&lt;&gt;",$B$2),风险登记册!$Q$4:$Q$203,$I64,风险登记册!$A$4:$A$203,"&lt;"&amp;$B64)+1)</f>
        <v/>
      </c>
      <c r="B64" s="32">
        <f>IF($B64="","",风险登记册!A47)</f>
        <v/>
      </c>
      <c r="C64" s="33">
        <f>IF($B64="","",风险登记册!B47)</f>
        <v/>
      </c>
      <c r="D64" s="33">
        <f>IF($B64="","",风险登记册!C47)</f>
        <v/>
      </c>
      <c r="E64" s="33">
        <f>IF($B64="","",风险登记册!E47)</f>
        <v/>
      </c>
      <c r="F64" s="32">
        <f>IF($B64="","",风险登记册!G47)</f>
        <v/>
      </c>
      <c r="G64" s="30">
        <f>IF($B64="","",风险登记册!N47)</f>
        <v/>
      </c>
      <c r="H64" s="32">
        <f>IF($B64="","",风险登记册!O47)</f>
        <v/>
      </c>
      <c r="I64" s="30">
        <f>IF($B64="","",风险登记册!Q47)</f>
        <v/>
      </c>
      <c r="J64" s="32">
        <f>IF($B64="","",风险登记册!R47)</f>
        <v/>
      </c>
      <c r="K64" s="32">
        <f>IF($B64="","",IF($J64="极高","每年必审",IF($J64="高","每年审计",IF($J64="中","两年一轮","按需抽查"))))</f>
        <v/>
      </c>
    </row>
    <row r="65">
      <c r="A65" s="32">
        <f>IF($B65="","",COUNTIFS(风险登记册!$F$4:$F$203,IF($B$2="全部","&lt;&gt;",$B$2),风险登记册!$Q$4:$Q$203,"&gt;"&amp;$I65)+COUNTIFS(风险登记册!$F$4:$F$203,IF($B$2="全部","&lt;&gt;",$B$2),风险登记册!$Q$4:$Q$203,$I65,风险登记册!$A$4:$A$203,"&lt;"&amp;$B65)+1)</f>
        <v/>
      </c>
      <c r="B65" s="32">
        <f>IF($B65="","",风险登记册!A48)</f>
        <v/>
      </c>
      <c r="C65" s="33">
        <f>IF($B65="","",风险登记册!B48)</f>
        <v/>
      </c>
      <c r="D65" s="33">
        <f>IF($B65="","",风险登记册!C48)</f>
        <v/>
      </c>
      <c r="E65" s="33">
        <f>IF($B65="","",风险登记册!E48)</f>
        <v/>
      </c>
      <c r="F65" s="32">
        <f>IF($B65="","",风险登记册!G48)</f>
        <v/>
      </c>
      <c r="G65" s="30">
        <f>IF($B65="","",风险登记册!N48)</f>
        <v/>
      </c>
      <c r="H65" s="32">
        <f>IF($B65="","",风险登记册!O48)</f>
        <v/>
      </c>
      <c r="I65" s="30">
        <f>IF($B65="","",风险登记册!Q48)</f>
        <v/>
      </c>
      <c r="J65" s="32">
        <f>IF($B65="","",风险登记册!R48)</f>
        <v/>
      </c>
      <c r="K65" s="32">
        <f>IF($B65="","",IF($J65="极高","每年必审",IF($J65="高","每年审计",IF($J65="中","两年一轮","按需抽查"))))</f>
        <v/>
      </c>
    </row>
    <row r="66">
      <c r="A66" s="32">
        <f>IF($B66="","",COUNTIFS(风险登记册!$F$4:$F$203,IF($B$2="全部","&lt;&gt;",$B$2),风险登记册!$Q$4:$Q$203,"&gt;"&amp;$I66)+COUNTIFS(风险登记册!$F$4:$F$203,IF($B$2="全部","&lt;&gt;",$B$2),风险登记册!$Q$4:$Q$203,$I66,风险登记册!$A$4:$A$203,"&lt;"&amp;$B66)+1)</f>
        <v/>
      </c>
      <c r="B66" s="32">
        <f>IF($B66="","",风险登记册!A49)</f>
        <v/>
      </c>
      <c r="C66" s="33">
        <f>IF($B66="","",风险登记册!B49)</f>
        <v/>
      </c>
      <c r="D66" s="33">
        <f>IF($B66="","",风险登记册!C49)</f>
        <v/>
      </c>
      <c r="E66" s="33">
        <f>IF($B66="","",风险登记册!E49)</f>
        <v/>
      </c>
      <c r="F66" s="32">
        <f>IF($B66="","",风险登记册!G49)</f>
        <v/>
      </c>
      <c r="G66" s="30">
        <f>IF($B66="","",风险登记册!N49)</f>
        <v/>
      </c>
      <c r="H66" s="32">
        <f>IF($B66="","",风险登记册!O49)</f>
        <v/>
      </c>
      <c r="I66" s="30">
        <f>IF($B66="","",风险登记册!Q49)</f>
        <v/>
      </c>
      <c r="J66" s="32">
        <f>IF($B66="","",风险登记册!R49)</f>
        <v/>
      </c>
      <c r="K66" s="32">
        <f>IF($B66="","",IF($J66="极高","每年必审",IF($J66="高","每年审计",IF($J66="中","两年一轮","按需抽查"))))</f>
        <v/>
      </c>
    </row>
    <row r="67">
      <c r="A67" s="32">
        <f>IF($B67="","",COUNTIFS(风险登记册!$F$4:$F$203,IF($B$2="全部","&lt;&gt;",$B$2),风险登记册!$Q$4:$Q$203,"&gt;"&amp;$I67)+COUNTIFS(风险登记册!$F$4:$F$203,IF($B$2="全部","&lt;&gt;",$B$2),风险登记册!$Q$4:$Q$203,$I67,风险登记册!$A$4:$A$203,"&lt;"&amp;$B67)+1)</f>
        <v/>
      </c>
      <c r="B67" s="32">
        <f>IF($B67="","",风险登记册!A50)</f>
        <v/>
      </c>
      <c r="C67" s="33">
        <f>IF($B67="","",风险登记册!B50)</f>
        <v/>
      </c>
      <c r="D67" s="33">
        <f>IF($B67="","",风险登记册!C50)</f>
        <v/>
      </c>
      <c r="E67" s="33">
        <f>IF($B67="","",风险登记册!E50)</f>
        <v/>
      </c>
      <c r="F67" s="32">
        <f>IF($B67="","",风险登记册!G50)</f>
        <v/>
      </c>
      <c r="G67" s="30">
        <f>IF($B67="","",风险登记册!N50)</f>
        <v/>
      </c>
      <c r="H67" s="32">
        <f>IF($B67="","",风险登记册!O50)</f>
        <v/>
      </c>
      <c r="I67" s="30">
        <f>IF($B67="","",风险登记册!Q50)</f>
        <v/>
      </c>
      <c r="J67" s="32">
        <f>IF($B67="","",风险登记册!R50)</f>
        <v/>
      </c>
      <c r="K67" s="32">
        <f>IF($B67="","",IF($J67="极高","每年必审",IF($J67="高","每年审计",IF($J67="中","两年一轮","按需抽查"))))</f>
        <v/>
      </c>
    </row>
    <row r="68">
      <c r="A68" s="32">
        <f>IF($B68="","",COUNTIFS(风险登记册!$F$4:$F$203,IF($B$2="全部","&lt;&gt;",$B$2),风险登记册!$Q$4:$Q$203,"&gt;"&amp;$I68)+COUNTIFS(风险登记册!$F$4:$F$203,IF($B$2="全部","&lt;&gt;",$B$2),风险登记册!$Q$4:$Q$203,$I68,风险登记册!$A$4:$A$203,"&lt;"&amp;$B68)+1)</f>
        <v/>
      </c>
      <c r="B68" s="32">
        <f>IF($B68="","",风险登记册!A51)</f>
        <v/>
      </c>
      <c r="C68" s="33">
        <f>IF($B68="","",风险登记册!B51)</f>
        <v/>
      </c>
      <c r="D68" s="33">
        <f>IF($B68="","",风险登记册!C51)</f>
        <v/>
      </c>
      <c r="E68" s="33">
        <f>IF($B68="","",风险登记册!E51)</f>
        <v/>
      </c>
      <c r="F68" s="32">
        <f>IF($B68="","",风险登记册!G51)</f>
        <v/>
      </c>
      <c r="G68" s="30">
        <f>IF($B68="","",风险登记册!N51)</f>
        <v/>
      </c>
      <c r="H68" s="32">
        <f>IF($B68="","",风险登记册!O51)</f>
        <v/>
      </c>
      <c r="I68" s="30">
        <f>IF($B68="","",风险登记册!Q51)</f>
        <v/>
      </c>
      <c r="J68" s="32">
        <f>IF($B68="","",风险登记册!R51)</f>
        <v/>
      </c>
      <c r="K68" s="32">
        <f>IF($B68="","",IF($J68="极高","每年必审",IF($J68="高","每年审计",IF($J68="中","两年一轮","按需抽查"))))</f>
        <v/>
      </c>
    </row>
    <row r="69">
      <c r="A69" s="32">
        <f>IF($B69="","",COUNTIFS(风险登记册!$F$4:$F$203,IF($B$2="全部","&lt;&gt;",$B$2),风险登记册!$Q$4:$Q$203,"&gt;"&amp;$I69)+COUNTIFS(风险登记册!$F$4:$F$203,IF($B$2="全部","&lt;&gt;",$B$2),风险登记册!$Q$4:$Q$203,$I69,风险登记册!$A$4:$A$203,"&lt;"&amp;$B69)+1)</f>
        <v/>
      </c>
      <c r="B69" s="32">
        <f>IF($B69="","",风险登记册!A52)</f>
        <v/>
      </c>
      <c r="C69" s="33">
        <f>IF($B69="","",风险登记册!B52)</f>
        <v/>
      </c>
      <c r="D69" s="33">
        <f>IF($B69="","",风险登记册!C52)</f>
        <v/>
      </c>
      <c r="E69" s="33">
        <f>IF($B69="","",风险登记册!E52)</f>
        <v/>
      </c>
      <c r="F69" s="32">
        <f>IF($B69="","",风险登记册!G52)</f>
        <v/>
      </c>
      <c r="G69" s="30">
        <f>IF($B69="","",风险登记册!N52)</f>
        <v/>
      </c>
      <c r="H69" s="32">
        <f>IF($B69="","",风险登记册!O52)</f>
        <v/>
      </c>
      <c r="I69" s="30">
        <f>IF($B69="","",风险登记册!Q52)</f>
        <v/>
      </c>
      <c r="J69" s="32">
        <f>IF($B69="","",风险登记册!R52)</f>
        <v/>
      </c>
      <c r="K69" s="32">
        <f>IF($B69="","",IF($J69="极高","每年必审",IF($J69="高","每年审计",IF($J69="中","两年一轮","按需抽查"))))</f>
        <v/>
      </c>
    </row>
    <row r="70">
      <c r="A70" s="32">
        <f>IF($B70="","",COUNTIFS(风险登记册!$F$4:$F$203,IF($B$2="全部","&lt;&gt;",$B$2),风险登记册!$Q$4:$Q$203,"&gt;"&amp;$I70)+COUNTIFS(风险登记册!$F$4:$F$203,IF($B$2="全部","&lt;&gt;",$B$2),风险登记册!$Q$4:$Q$203,$I70,风险登记册!$A$4:$A$203,"&lt;"&amp;$B70)+1)</f>
        <v/>
      </c>
      <c r="B70" s="32">
        <f>IF($B70="","",风险登记册!A53)</f>
        <v/>
      </c>
      <c r="C70" s="33">
        <f>IF($B70="","",风险登记册!B53)</f>
        <v/>
      </c>
      <c r="D70" s="33">
        <f>IF($B70="","",风险登记册!C53)</f>
        <v/>
      </c>
      <c r="E70" s="33">
        <f>IF($B70="","",风险登记册!E53)</f>
        <v/>
      </c>
      <c r="F70" s="32">
        <f>IF($B70="","",风险登记册!G53)</f>
        <v/>
      </c>
      <c r="G70" s="30">
        <f>IF($B70="","",风险登记册!N53)</f>
        <v/>
      </c>
      <c r="H70" s="32">
        <f>IF($B70="","",风险登记册!O53)</f>
        <v/>
      </c>
      <c r="I70" s="30">
        <f>IF($B70="","",风险登记册!Q53)</f>
        <v/>
      </c>
      <c r="J70" s="32">
        <f>IF($B70="","",风险登记册!R53)</f>
        <v/>
      </c>
      <c r="K70" s="32">
        <f>IF($B70="","",IF($J70="极高","每年必审",IF($J70="高","每年审计",IF($J70="中","两年一轮","按需抽查"))))</f>
        <v/>
      </c>
    </row>
    <row r="71">
      <c r="A71" s="32">
        <f>IF($B71="","",COUNTIFS(风险登记册!$F$4:$F$203,IF($B$2="全部","&lt;&gt;",$B$2),风险登记册!$Q$4:$Q$203,"&gt;"&amp;$I71)+COUNTIFS(风险登记册!$F$4:$F$203,IF($B$2="全部","&lt;&gt;",$B$2),风险登记册!$Q$4:$Q$203,$I71,风险登记册!$A$4:$A$203,"&lt;"&amp;$B71)+1)</f>
        <v/>
      </c>
      <c r="B71" s="32">
        <f>IF($B71="","",风险登记册!A54)</f>
        <v/>
      </c>
      <c r="C71" s="33">
        <f>IF($B71="","",风险登记册!B54)</f>
        <v/>
      </c>
      <c r="D71" s="33">
        <f>IF($B71="","",风险登记册!C54)</f>
        <v/>
      </c>
      <c r="E71" s="33">
        <f>IF($B71="","",风险登记册!E54)</f>
        <v/>
      </c>
      <c r="F71" s="32">
        <f>IF($B71="","",风险登记册!G54)</f>
        <v/>
      </c>
      <c r="G71" s="30">
        <f>IF($B71="","",风险登记册!N54)</f>
        <v/>
      </c>
      <c r="H71" s="32">
        <f>IF($B71="","",风险登记册!O54)</f>
        <v/>
      </c>
      <c r="I71" s="30">
        <f>IF($B71="","",风险登记册!Q54)</f>
        <v/>
      </c>
      <c r="J71" s="32">
        <f>IF($B71="","",风险登记册!R54)</f>
        <v/>
      </c>
      <c r="K71" s="32">
        <f>IF($B71="","",IF($J71="极高","每年必审",IF($J71="高","每年审计",IF($J71="中","两年一轮","按需抽查"))))</f>
        <v/>
      </c>
    </row>
    <row r="72">
      <c r="A72" s="32">
        <f>IF($B72="","",COUNTIFS(风险登记册!$F$4:$F$203,IF($B$2="全部","&lt;&gt;",$B$2),风险登记册!$Q$4:$Q$203,"&gt;"&amp;$I72)+COUNTIFS(风险登记册!$F$4:$F$203,IF($B$2="全部","&lt;&gt;",$B$2),风险登记册!$Q$4:$Q$203,$I72,风险登记册!$A$4:$A$203,"&lt;"&amp;$B72)+1)</f>
        <v/>
      </c>
      <c r="B72" s="32">
        <f>IF($B72="","",风险登记册!A55)</f>
        <v/>
      </c>
      <c r="C72" s="33">
        <f>IF($B72="","",风险登记册!B55)</f>
        <v/>
      </c>
      <c r="D72" s="33">
        <f>IF($B72="","",风险登记册!C55)</f>
        <v/>
      </c>
      <c r="E72" s="33">
        <f>IF($B72="","",风险登记册!E55)</f>
        <v/>
      </c>
      <c r="F72" s="32">
        <f>IF($B72="","",风险登记册!G55)</f>
        <v/>
      </c>
      <c r="G72" s="30">
        <f>IF($B72="","",风险登记册!N55)</f>
        <v/>
      </c>
      <c r="H72" s="32">
        <f>IF($B72="","",风险登记册!O55)</f>
        <v/>
      </c>
      <c r="I72" s="30">
        <f>IF($B72="","",风险登记册!Q55)</f>
        <v/>
      </c>
      <c r="J72" s="32">
        <f>IF($B72="","",风险登记册!R55)</f>
        <v/>
      </c>
      <c r="K72" s="32">
        <f>IF($B72="","",IF($J72="极高","每年必审",IF($J72="高","每年审计",IF($J72="中","两年一轮","按需抽查"))))</f>
        <v/>
      </c>
    </row>
    <row r="73">
      <c r="A73" s="32">
        <f>IF($B73="","",COUNTIFS(风险登记册!$F$4:$F$203,IF($B$2="全部","&lt;&gt;",$B$2),风险登记册!$Q$4:$Q$203,"&gt;"&amp;$I73)+COUNTIFS(风险登记册!$F$4:$F$203,IF($B$2="全部","&lt;&gt;",$B$2),风险登记册!$Q$4:$Q$203,$I73,风险登记册!$A$4:$A$203,"&lt;"&amp;$B73)+1)</f>
        <v/>
      </c>
      <c r="B73" s="32">
        <f>IF($B73="","",风险登记册!A56)</f>
        <v/>
      </c>
      <c r="C73" s="33">
        <f>IF($B73="","",风险登记册!B56)</f>
        <v/>
      </c>
      <c r="D73" s="33">
        <f>IF($B73="","",风险登记册!C56)</f>
        <v/>
      </c>
      <c r="E73" s="33">
        <f>IF($B73="","",风险登记册!E56)</f>
        <v/>
      </c>
      <c r="F73" s="32">
        <f>IF($B73="","",风险登记册!G56)</f>
        <v/>
      </c>
      <c r="G73" s="30">
        <f>IF($B73="","",风险登记册!N56)</f>
        <v/>
      </c>
      <c r="H73" s="32">
        <f>IF($B73="","",风险登记册!O56)</f>
        <v/>
      </c>
      <c r="I73" s="30">
        <f>IF($B73="","",风险登记册!Q56)</f>
        <v/>
      </c>
      <c r="J73" s="32">
        <f>IF($B73="","",风险登记册!R56)</f>
        <v/>
      </c>
      <c r="K73" s="32">
        <f>IF($B73="","",IF($J73="极高","每年必审",IF($J73="高","每年审计",IF($J73="中","两年一轮","按需抽查"))))</f>
        <v/>
      </c>
    </row>
    <row r="74">
      <c r="A74" s="32">
        <f>IF($B74="","",COUNTIFS(风险登记册!$F$4:$F$203,IF($B$2="全部","&lt;&gt;",$B$2),风险登记册!$Q$4:$Q$203,"&gt;"&amp;$I74)+COUNTIFS(风险登记册!$F$4:$F$203,IF($B$2="全部","&lt;&gt;",$B$2),风险登记册!$Q$4:$Q$203,$I74,风险登记册!$A$4:$A$203,"&lt;"&amp;$B74)+1)</f>
        <v/>
      </c>
      <c r="B74" s="32">
        <f>IF($B74="","",风险登记册!A57)</f>
        <v/>
      </c>
      <c r="C74" s="33">
        <f>IF($B74="","",风险登记册!B57)</f>
        <v/>
      </c>
      <c r="D74" s="33">
        <f>IF($B74="","",风险登记册!C57)</f>
        <v/>
      </c>
      <c r="E74" s="33">
        <f>IF($B74="","",风险登记册!E57)</f>
        <v/>
      </c>
      <c r="F74" s="32">
        <f>IF($B74="","",风险登记册!G57)</f>
        <v/>
      </c>
      <c r="G74" s="30">
        <f>IF($B74="","",风险登记册!N57)</f>
        <v/>
      </c>
      <c r="H74" s="32">
        <f>IF($B74="","",风险登记册!O57)</f>
        <v/>
      </c>
      <c r="I74" s="30">
        <f>IF($B74="","",风险登记册!Q57)</f>
        <v/>
      </c>
      <c r="J74" s="32">
        <f>IF($B74="","",风险登记册!R57)</f>
        <v/>
      </c>
      <c r="K74" s="32">
        <f>IF($B74="","",IF($J74="极高","每年必审",IF($J74="高","每年审计",IF($J74="中","两年一轮","按需抽查"))))</f>
        <v/>
      </c>
    </row>
    <row r="75">
      <c r="A75" s="32">
        <f>IF($B75="","",COUNTIFS(风险登记册!$F$4:$F$203,IF($B$2="全部","&lt;&gt;",$B$2),风险登记册!$Q$4:$Q$203,"&gt;"&amp;$I75)+COUNTIFS(风险登记册!$F$4:$F$203,IF($B$2="全部","&lt;&gt;",$B$2),风险登记册!$Q$4:$Q$203,$I75,风险登记册!$A$4:$A$203,"&lt;"&amp;$B75)+1)</f>
        <v/>
      </c>
      <c r="B75" s="32">
        <f>IF($B75="","",风险登记册!A58)</f>
        <v/>
      </c>
      <c r="C75" s="33">
        <f>IF($B75="","",风险登记册!B58)</f>
        <v/>
      </c>
      <c r="D75" s="33">
        <f>IF($B75="","",风险登记册!C58)</f>
        <v/>
      </c>
      <c r="E75" s="33">
        <f>IF($B75="","",风险登记册!E58)</f>
        <v/>
      </c>
      <c r="F75" s="32">
        <f>IF($B75="","",风险登记册!G58)</f>
        <v/>
      </c>
      <c r="G75" s="30">
        <f>IF($B75="","",风险登记册!N58)</f>
        <v/>
      </c>
      <c r="H75" s="32">
        <f>IF($B75="","",风险登记册!O58)</f>
        <v/>
      </c>
      <c r="I75" s="30">
        <f>IF($B75="","",风险登记册!Q58)</f>
        <v/>
      </c>
      <c r="J75" s="32">
        <f>IF($B75="","",风险登记册!R58)</f>
        <v/>
      </c>
      <c r="K75" s="32">
        <f>IF($B75="","",IF($J75="极高","每年必审",IF($J75="高","每年审计",IF($J75="中","两年一轮","按需抽查"))))</f>
        <v/>
      </c>
    </row>
    <row r="76">
      <c r="A76" s="32">
        <f>IF($B76="","",COUNTIFS(风险登记册!$F$4:$F$203,IF($B$2="全部","&lt;&gt;",$B$2),风险登记册!$Q$4:$Q$203,"&gt;"&amp;$I76)+COUNTIFS(风险登记册!$F$4:$F$203,IF($B$2="全部","&lt;&gt;",$B$2),风险登记册!$Q$4:$Q$203,$I76,风险登记册!$A$4:$A$203,"&lt;"&amp;$B76)+1)</f>
        <v/>
      </c>
      <c r="B76" s="32">
        <f>IF($B76="","",风险登记册!A59)</f>
        <v/>
      </c>
      <c r="C76" s="33">
        <f>IF($B76="","",风险登记册!B59)</f>
        <v/>
      </c>
      <c r="D76" s="33">
        <f>IF($B76="","",风险登记册!C59)</f>
        <v/>
      </c>
      <c r="E76" s="33">
        <f>IF($B76="","",风险登记册!E59)</f>
        <v/>
      </c>
      <c r="F76" s="32">
        <f>IF($B76="","",风险登记册!G59)</f>
        <v/>
      </c>
      <c r="G76" s="30">
        <f>IF($B76="","",风险登记册!N59)</f>
        <v/>
      </c>
      <c r="H76" s="32">
        <f>IF($B76="","",风险登记册!O59)</f>
        <v/>
      </c>
      <c r="I76" s="30">
        <f>IF($B76="","",风险登记册!Q59)</f>
        <v/>
      </c>
      <c r="J76" s="32">
        <f>IF($B76="","",风险登记册!R59)</f>
        <v/>
      </c>
      <c r="K76" s="32">
        <f>IF($B76="","",IF($J76="极高","每年必审",IF($J76="高","每年审计",IF($J76="中","两年一轮","按需抽查"))))</f>
        <v/>
      </c>
    </row>
    <row r="77">
      <c r="A77" s="32">
        <f>IF($B77="","",COUNTIFS(风险登记册!$F$4:$F$203,IF($B$2="全部","&lt;&gt;",$B$2),风险登记册!$Q$4:$Q$203,"&gt;"&amp;$I77)+COUNTIFS(风险登记册!$F$4:$F$203,IF($B$2="全部","&lt;&gt;",$B$2),风险登记册!$Q$4:$Q$203,$I77,风险登记册!$A$4:$A$203,"&lt;"&amp;$B77)+1)</f>
        <v/>
      </c>
      <c r="B77" s="32">
        <f>IF($B77="","",风险登记册!A60)</f>
        <v/>
      </c>
      <c r="C77" s="33">
        <f>IF($B77="","",风险登记册!B60)</f>
        <v/>
      </c>
      <c r="D77" s="33">
        <f>IF($B77="","",风险登记册!C60)</f>
        <v/>
      </c>
      <c r="E77" s="33">
        <f>IF($B77="","",风险登记册!E60)</f>
        <v/>
      </c>
      <c r="F77" s="32">
        <f>IF($B77="","",风险登记册!G60)</f>
        <v/>
      </c>
      <c r="G77" s="30">
        <f>IF($B77="","",风险登记册!N60)</f>
        <v/>
      </c>
      <c r="H77" s="32">
        <f>IF($B77="","",风险登记册!O60)</f>
        <v/>
      </c>
      <c r="I77" s="30">
        <f>IF($B77="","",风险登记册!Q60)</f>
        <v/>
      </c>
      <c r="J77" s="32">
        <f>IF($B77="","",风险登记册!R60)</f>
        <v/>
      </c>
      <c r="K77" s="32">
        <f>IF($B77="","",IF($J77="极高","每年必审",IF($J77="高","每年审计",IF($J77="中","两年一轮","按需抽查"))))</f>
        <v/>
      </c>
    </row>
    <row r="78">
      <c r="A78" s="32">
        <f>IF($B78="","",COUNTIFS(风险登记册!$F$4:$F$203,IF($B$2="全部","&lt;&gt;",$B$2),风险登记册!$Q$4:$Q$203,"&gt;"&amp;$I78)+COUNTIFS(风险登记册!$F$4:$F$203,IF($B$2="全部","&lt;&gt;",$B$2),风险登记册!$Q$4:$Q$203,$I78,风险登记册!$A$4:$A$203,"&lt;"&amp;$B78)+1)</f>
        <v/>
      </c>
      <c r="B78" s="32">
        <f>IF($B78="","",风险登记册!A61)</f>
        <v/>
      </c>
      <c r="C78" s="33">
        <f>IF($B78="","",风险登记册!B61)</f>
        <v/>
      </c>
      <c r="D78" s="33">
        <f>IF($B78="","",风险登记册!C61)</f>
        <v/>
      </c>
      <c r="E78" s="33">
        <f>IF($B78="","",风险登记册!E61)</f>
        <v/>
      </c>
      <c r="F78" s="32">
        <f>IF($B78="","",风险登记册!G61)</f>
        <v/>
      </c>
      <c r="G78" s="30">
        <f>IF($B78="","",风险登记册!N61)</f>
        <v/>
      </c>
      <c r="H78" s="32">
        <f>IF($B78="","",风险登记册!O61)</f>
        <v/>
      </c>
      <c r="I78" s="30">
        <f>IF($B78="","",风险登记册!Q61)</f>
        <v/>
      </c>
      <c r="J78" s="32">
        <f>IF($B78="","",风险登记册!R61)</f>
        <v/>
      </c>
      <c r="K78" s="32">
        <f>IF($B78="","",IF($J78="极高","每年必审",IF($J78="高","每年审计",IF($J78="中","两年一轮","按需抽查"))))</f>
        <v/>
      </c>
    </row>
    <row r="79">
      <c r="A79" s="32">
        <f>IF($B79="","",COUNTIFS(风险登记册!$F$4:$F$203,IF($B$2="全部","&lt;&gt;",$B$2),风险登记册!$Q$4:$Q$203,"&gt;"&amp;$I79)+COUNTIFS(风险登记册!$F$4:$F$203,IF($B$2="全部","&lt;&gt;",$B$2),风险登记册!$Q$4:$Q$203,$I79,风险登记册!$A$4:$A$203,"&lt;"&amp;$B79)+1)</f>
        <v/>
      </c>
      <c r="B79" s="32">
        <f>IF($B79="","",风险登记册!A62)</f>
        <v/>
      </c>
      <c r="C79" s="33">
        <f>IF($B79="","",风险登记册!B62)</f>
        <v/>
      </c>
      <c r="D79" s="33">
        <f>IF($B79="","",风险登记册!C62)</f>
        <v/>
      </c>
      <c r="E79" s="33">
        <f>IF($B79="","",风险登记册!E62)</f>
        <v/>
      </c>
      <c r="F79" s="32">
        <f>IF($B79="","",风险登记册!G62)</f>
        <v/>
      </c>
      <c r="G79" s="30">
        <f>IF($B79="","",风险登记册!N62)</f>
        <v/>
      </c>
      <c r="H79" s="32">
        <f>IF($B79="","",风险登记册!O62)</f>
        <v/>
      </c>
      <c r="I79" s="30">
        <f>IF($B79="","",风险登记册!Q62)</f>
        <v/>
      </c>
      <c r="J79" s="32">
        <f>IF($B79="","",风险登记册!R62)</f>
        <v/>
      </c>
      <c r="K79" s="32">
        <f>IF($B79="","",IF($J79="极高","每年必审",IF($J79="高","每年审计",IF($J79="中","两年一轮","按需抽查"))))</f>
        <v/>
      </c>
    </row>
    <row r="80">
      <c r="A80" s="32">
        <f>IF($B80="","",COUNTIFS(风险登记册!$F$4:$F$203,IF($B$2="全部","&lt;&gt;",$B$2),风险登记册!$Q$4:$Q$203,"&gt;"&amp;$I80)+COUNTIFS(风险登记册!$F$4:$F$203,IF($B$2="全部","&lt;&gt;",$B$2),风险登记册!$Q$4:$Q$203,$I80,风险登记册!$A$4:$A$203,"&lt;"&amp;$B80)+1)</f>
        <v/>
      </c>
      <c r="B80" s="32">
        <f>IF($B80="","",风险登记册!A63)</f>
        <v/>
      </c>
      <c r="C80" s="33">
        <f>IF($B80="","",风险登记册!B63)</f>
        <v/>
      </c>
      <c r="D80" s="33">
        <f>IF($B80="","",风险登记册!C63)</f>
        <v/>
      </c>
      <c r="E80" s="33">
        <f>IF($B80="","",风险登记册!E63)</f>
        <v/>
      </c>
      <c r="F80" s="32">
        <f>IF($B80="","",风险登记册!G63)</f>
        <v/>
      </c>
      <c r="G80" s="30">
        <f>IF($B80="","",风险登记册!N63)</f>
        <v/>
      </c>
      <c r="H80" s="32">
        <f>IF($B80="","",风险登记册!O63)</f>
        <v/>
      </c>
      <c r="I80" s="30">
        <f>IF($B80="","",风险登记册!Q63)</f>
        <v/>
      </c>
      <c r="J80" s="32">
        <f>IF($B80="","",风险登记册!R63)</f>
        <v/>
      </c>
      <c r="K80" s="32">
        <f>IF($B80="","",IF($J80="极高","每年必审",IF($J80="高","每年审计",IF($J80="中","两年一轮","按需抽查"))))</f>
        <v/>
      </c>
    </row>
    <row r="81">
      <c r="A81" s="32">
        <f>IF($B81="","",COUNTIFS(风险登记册!$F$4:$F$203,IF($B$2="全部","&lt;&gt;",$B$2),风险登记册!$Q$4:$Q$203,"&gt;"&amp;$I81)+COUNTIFS(风险登记册!$F$4:$F$203,IF($B$2="全部","&lt;&gt;",$B$2),风险登记册!$Q$4:$Q$203,$I81,风险登记册!$A$4:$A$203,"&lt;"&amp;$B81)+1)</f>
        <v/>
      </c>
      <c r="B81" s="32">
        <f>IF($B81="","",风险登记册!A64)</f>
        <v/>
      </c>
      <c r="C81" s="33">
        <f>IF($B81="","",风险登记册!B64)</f>
        <v/>
      </c>
      <c r="D81" s="33">
        <f>IF($B81="","",风险登记册!C64)</f>
        <v/>
      </c>
      <c r="E81" s="33">
        <f>IF($B81="","",风险登记册!E64)</f>
        <v/>
      </c>
      <c r="F81" s="32">
        <f>IF($B81="","",风险登记册!G64)</f>
        <v/>
      </c>
      <c r="G81" s="30">
        <f>IF($B81="","",风险登记册!N64)</f>
        <v/>
      </c>
      <c r="H81" s="32">
        <f>IF($B81="","",风险登记册!O64)</f>
        <v/>
      </c>
      <c r="I81" s="30">
        <f>IF($B81="","",风险登记册!Q64)</f>
        <v/>
      </c>
      <c r="J81" s="32">
        <f>IF($B81="","",风险登记册!R64)</f>
        <v/>
      </c>
      <c r="K81" s="32">
        <f>IF($B81="","",IF($J81="极高","每年必审",IF($J81="高","每年审计",IF($J81="中","两年一轮","按需抽查"))))</f>
        <v/>
      </c>
    </row>
    <row r="82">
      <c r="A82" s="32">
        <f>IF($B82="","",COUNTIFS(风险登记册!$F$4:$F$203,IF($B$2="全部","&lt;&gt;",$B$2),风险登记册!$Q$4:$Q$203,"&gt;"&amp;$I82)+COUNTIFS(风险登记册!$F$4:$F$203,IF($B$2="全部","&lt;&gt;",$B$2),风险登记册!$Q$4:$Q$203,$I82,风险登记册!$A$4:$A$203,"&lt;"&amp;$B82)+1)</f>
        <v/>
      </c>
      <c r="B82" s="32">
        <f>IF($B82="","",风险登记册!A65)</f>
        <v/>
      </c>
      <c r="C82" s="33">
        <f>IF($B82="","",风险登记册!B65)</f>
        <v/>
      </c>
      <c r="D82" s="33">
        <f>IF($B82="","",风险登记册!C65)</f>
        <v/>
      </c>
      <c r="E82" s="33">
        <f>IF($B82="","",风险登记册!E65)</f>
        <v/>
      </c>
      <c r="F82" s="32">
        <f>IF($B82="","",风险登记册!G65)</f>
        <v/>
      </c>
      <c r="G82" s="30">
        <f>IF($B82="","",风险登记册!N65)</f>
        <v/>
      </c>
      <c r="H82" s="32">
        <f>IF($B82="","",风险登记册!O65)</f>
        <v/>
      </c>
      <c r="I82" s="30">
        <f>IF($B82="","",风险登记册!Q65)</f>
        <v/>
      </c>
      <c r="J82" s="32">
        <f>IF($B82="","",风险登记册!R65)</f>
        <v/>
      </c>
      <c r="K82" s="32">
        <f>IF($B82="","",IF($J82="极高","每年必审",IF($J82="高","每年审计",IF($J82="中","两年一轮","按需抽查"))))</f>
        <v/>
      </c>
    </row>
    <row r="83">
      <c r="A83" s="32">
        <f>IF($B83="","",COUNTIFS(风险登记册!$F$4:$F$203,IF($B$2="全部","&lt;&gt;",$B$2),风险登记册!$Q$4:$Q$203,"&gt;"&amp;$I83)+COUNTIFS(风险登记册!$F$4:$F$203,IF($B$2="全部","&lt;&gt;",$B$2),风险登记册!$Q$4:$Q$203,$I83,风险登记册!$A$4:$A$203,"&lt;"&amp;$B83)+1)</f>
        <v/>
      </c>
      <c r="B83" s="32">
        <f>IF($B83="","",风险登记册!A66)</f>
        <v/>
      </c>
      <c r="C83" s="33">
        <f>IF($B83="","",风险登记册!B66)</f>
        <v/>
      </c>
      <c r="D83" s="33">
        <f>IF($B83="","",风险登记册!C66)</f>
        <v/>
      </c>
      <c r="E83" s="33">
        <f>IF($B83="","",风险登记册!E66)</f>
        <v/>
      </c>
      <c r="F83" s="32">
        <f>IF($B83="","",风险登记册!G66)</f>
        <v/>
      </c>
      <c r="G83" s="30">
        <f>IF($B83="","",风险登记册!N66)</f>
        <v/>
      </c>
      <c r="H83" s="32">
        <f>IF($B83="","",风险登记册!O66)</f>
        <v/>
      </c>
      <c r="I83" s="30">
        <f>IF($B83="","",风险登记册!Q66)</f>
        <v/>
      </c>
      <c r="J83" s="32">
        <f>IF($B83="","",风险登记册!R66)</f>
        <v/>
      </c>
      <c r="K83" s="32">
        <f>IF($B83="","",IF($J83="极高","每年必审",IF($J83="高","每年审计",IF($J83="中","两年一轮","按需抽查"))))</f>
        <v/>
      </c>
    </row>
    <row r="84">
      <c r="A84" s="32">
        <f>IF($B84="","",COUNTIFS(风险登记册!$F$4:$F$203,IF($B$2="全部","&lt;&gt;",$B$2),风险登记册!$Q$4:$Q$203,"&gt;"&amp;$I84)+COUNTIFS(风险登记册!$F$4:$F$203,IF($B$2="全部","&lt;&gt;",$B$2),风险登记册!$Q$4:$Q$203,$I84,风险登记册!$A$4:$A$203,"&lt;"&amp;$B84)+1)</f>
        <v/>
      </c>
      <c r="B84" s="32">
        <f>IF($B84="","",风险登记册!A67)</f>
        <v/>
      </c>
      <c r="C84" s="33">
        <f>IF($B84="","",风险登记册!B67)</f>
        <v/>
      </c>
      <c r="D84" s="33">
        <f>IF($B84="","",风险登记册!C67)</f>
        <v/>
      </c>
      <c r="E84" s="33">
        <f>IF($B84="","",风险登记册!E67)</f>
        <v/>
      </c>
      <c r="F84" s="32">
        <f>IF($B84="","",风险登记册!G67)</f>
        <v/>
      </c>
      <c r="G84" s="30">
        <f>IF($B84="","",风险登记册!N67)</f>
        <v/>
      </c>
      <c r="H84" s="32">
        <f>IF($B84="","",风险登记册!O67)</f>
        <v/>
      </c>
      <c r="I84" s="30">
        <f>IF($B84="","",风险登记册!Q67)</f>
        <v/>
      </c>
      <c r="J84" s="32">
        <f>IF($B84="","",风险登记册!R67)</f>
        <v/>
      </c>
      <c r="K84" s="32">
        <f>IF($B84="","",IF($J84="极高","每年必审",IF($J84="高","每年审计",IF($J84="中","两年一轮","按需抽查"))))</f>
        <v/>
      </c>
    </row>
    <row r="85">
      <c r="A85" s="32">
        <f>IF($B85="","",COUNTIFS(风险登记册!$F$4:$F$203,IF($B$2="全部","&lt;&gt;",$B$2),风险登记册!$Q$4:$Q$203,"&gt;"&amp;$I85)+COUNTIFS(风险登记册!$F$4:$F$203,IF($B$2="全部","&lt;&gt;",$B$2),风险登记册!$Q$4:$Q$203,$I85,风险登记册!$A$4:$A$203,"&lt;"&amp;$B85)+1)</f>
        <v/>
      </c>
      <c r="B85" s="32">
        <f>IF($B85="","",风险登记册!A68)</f>
        <v/>
      </c>
      <c r="C85" s="33">
        <f>IF($B85="","",风险登记册!B68)</f>
        <v/>
      </c>
      <c r="D85" s="33">
        <f>IF($B85="","",风险登记册!C68)</f>
        <v/>
      </c>
      <c r="E85" s="33">
        <f>IF($B85="","",风险登记册!E68)</f>
        <v/>
      </c>
      <c r="F85" s="32">
        <f>IF($B85="","",风险登记册!G68)</f>
        <v/>
      </c>
      <c r="G85" s="30">
        <f>IF($B85="","",风险登记册!N68)</f>
        <v/>
      </c>
      <c r="H85" s="32">
        <f>IF($B85="","",风险登记册!O68)</f>
        <v/>
      </c>
      <c r="I85" s="30">
        <f>IF($B85="","",风险登记册!Q68)</f>
        <v/>
      </c>
      <c r="J85" s="32">
        <f>IF($B85="","",风险登记册!R68)</f>
        <v/>
      </c>
      <c r="K85" s="32">
        <f>IF($B85="","",IF($J85="极高","每年必审",IF($J85="高","每年审计",IF($J85="中","两年一轮","按需抽查"))))</f>
        <v/>
      </c>
    </row>
    <row r="86">
      <c r="A86" s="32">
        <f>IF($B86="","",COUNTIFS(风险登记册!$F$4:$F$203,IF($B$2="全部","&lt;&gt;",$B$2),风险登记册!$Q$4:$Q$203,"&gt;"&amp;$I86)+COUNTIFS(风险登记册!$F$4:$F$203,IF($B$2="全部","&lt;&gt;",$B$2),风险登记册!$Q$4:$Q$203,$I86,风险登记册!$A$4:$A$203,"&lt;"&amp;$B86)+1)</f>
        <v/>
      </c>
      <c r="B86" s="32">
        <f>IF($B86="","",风险登记册!A69)</f>
        <v/>
      </c>
      <c r="C86" s="33">
        <f>IF($B86="","",风险登记册!B69)</f>
        <v/>
      </c>
      <c r="D86" s="33">
        <f>IF($B86="","",风险登记册!C69)</f>
        <v/>
      </c>
      <c r="E86" s="33">
        <f>IF($B86="","",风险登记册!E69)</f>
        <v/>
      </c>
      <c r="F86" s="32">
        <f>IF($B86="","",风险登记册!G69)</f>
        <v/>
      </c>
      <c r="G86" s="30">
        <f>IF($B86="","",风险登记册!N69)</f>
        <v/>
      </c>
      <c r="H86" s="32">
        <f>IF($B86="","",风险登记册!O69)</f>
        <v/>
      </c>
      <c r="I86" s="30">
        <f>IF($B86="","",风险登记册!Q69)</f>
        <v/>
      </c>
      <c r="J86" s="32">
        <f>IF($B86="","",风险登记册!R69)</f>
        <v/>
      </c>
      <c r="K86" s="32">
        <f>IF($B86="","",IF($J86="极高","每年必审",IF($J86="高","每年审计",IF($J86="中","两年一轮","按需抽查"))))</f>
        <v/>
      </c>
    </row>
    <row r="87">
      <c r="A87" s="32">
        <f>IF($B87="","",COUNTIFS(风险登记册!$F$4:$F$203,IF($B$2="全部","&lt;&gt;",$B$2),风险登记册!$Q$4:$Q$203,"&gt;"&amp;$I87)+COUNTIFS(风险登记册!$F$4:$F$203,IF($B$2="全部","&lt;&gt;",$B$2),风险登记册!$Q$4:$Q$203,$I87,风险登记册!$A$4:$A$203,"&lt;"&amp;$B87)+1)</f>
        <v/>
      </c>
      <c r="B87" s="32">
        <f>IF($B87="","",风险登记册!A70)</f>
        <v/>
      </c>
      <c r="C87" s="33">
        <f>IF($B87="","",风险登记册!B70)</f>
        <v/>
      </c>
      <c r="D87" s="33">
        <f>IF($B87="","",风险登记册!C70)</f>
        <v/>
      </c>
      <c r="E87" s="33">
        <f>IF($B87="","",风险登记册!E70)</f>
        <v/>
      </c>
      <c r="F87" s="32">
        <f>IF($B87="","",风险登记册!G70)</f>
        <v/>
      </c>
      <c r="G87" s="30">
        <f>IF($B87="","",风险登记册!N70)</f>
        <v/>
      </c>
      <c r="H87" s="32">
        <f>IF($B87="","",风险登记册!O70)</f>
        <v/>
      </c>
      <c r="I87" s="30">
        <f>IF($B87="","",风险登记册!Q70)</f>
        <v/>
      </c>
      <c r="J87" s="32">
        <f>IF($B87="","",风险登记册!R70)</f>
        <v/>
      </c>
      <c r="K87" s="32">
        <f>IF($B87="","",IF($J87="极高","每年必审",IF($J87="高","每年审计",IF($J87="中","两年一轮","按需抽查"))))</f>
        <v/>
      </c>
    </row>
    <row r="88">
      <c r="A88" s="32">
        <f>IF($B88="","",COUNTIFS(风险登记册!$F$4:$F$203,IF($B$2="全部","&lt;&gt;",$B$2),风险登记册!$Q$4:$Q$203,"&gt;"&amp;$I88)+COUNTIFS(风险登记册!$F$4:$F$203,IF($B$2="全部","&lt;&gt;",$B$2),风险登记册!$Q$4:$Q$203,$I88,风险登记册!$A$4:$A$203,"&lt;"&amp;$B88)+1)</f>
        <v/>
      </c>
      <c r="B88" s="32">
        <f>IF($B88="","",风险登记册!A71)</f>
        <v/>
      </c>
      <c r="C88" s="33">
        <f>IF($B88="","",风险登记册!B71)</f>
        <v/>
      </c>
      <c r="D88" s="33">
        <f>IF($B88="","",风险登记册!C71)</f>
        <v/>
      </c>
      <c r="E88" s="33">
        <f>IF($B88="","",风险登记册!E71)</f>
        <v/>
      </c>
      <c r="F88" s="32">
        <f>IF($B88="","",风险登记册!G71)</f>
        <v/>
      </c>
      <c r="G88" s="30">
        <f>IF($B88="","",风险登记册!N71)</f>
        <v/>
      </c>
      <c r="H88" s="32">
        <f>IF($B88="","",风险登记册!O71)</f>
        <v/>
      </c>
      <c r="I88" s="30">
        <f>IF($B88="","",风险登记册!Q71)</f>
        <v/>
      </c>
      <c r="J88" s="32">
        <f>IF($B88="","",风险登记册!R71)</f>
        <v/>
      </c>
      <c r="K88" s="32">
        <f>IF($B88="","",IF($J88="极高","每年必审",IF($J88="高","每年审计",IF($J88="中","两年一轮","按需抽查"))))</f>
        <v/>
      </c>
    </row>
    <row r="89">
      <c r="A89" s="32">
        <f>IF($B89="","",COUNTIFS(风险登记册!$F$4:$F$203,IF($B$2="全部","&lt;&gt;",$B$2),风险登记册!$Q$4:$Q$203,"&gt;"&amp;$I89)+COUNTIFS(风险登记册!$F$4:$F$203,IF($B$2="全部","&lt;&gt;",$B$2),风险登记册!$Q$4:$Q$203,$I89,风险登记册!$A$4:$A$203,"&lt;"&amp;$B89)+1)</f>
        <v/>
      </c>
      <c r="B89" s="32">
        <f>IF($B89="","",风险登记册!A72)</f>
        <v/>
      </c>
      <c r="C89" s="33">
        <f>IF($B89="","",风险登记册!B72)</f>
        <v/>
      </c>
      <c r="D89" s="33">
        <f>IF($B89="","",风险登记册!C72)</f>
        <v/>
      </c>
      <c r="E89" s="33">
        <f>IF($B89="","",风险登记册!E72)</f>
        <v/>
      </c>
      <c r="F89" s="32">
        <f>IF($B89="","",风险登记册!G72)</f>
        <v/>
      </c>
      <c r="G89" s="30">
        <f>IF($B89="","",风险登记册!N72)</f>
        <v/>
      </c>
      <c r="H89" s="32">
        <f>IF($B89="","",风险登记册!O72)</f>
        <v/>
      </c>
      <c r="I89" s="30">
        <f>IF($B89="","",风险登记册!Q72)</f>
        <v/>
      </c>
      <c r="J89" s="32">
        <f>IF($B89="","",风险登记册!R72)</f>
        <v/>
      </c>
      <c r="K89" s="32">
        <f>IF($B89="","",IF($J89="极高","每年必审",IF($J89="高","每年审计",IF($J89="中","两年一轮","按需抽查"))))</f>
        <v/>
      </c>
    </row>
    <row r="90">
      <c r="A90" s="32">
        <f>IF($B90="","",COUNTIFS(风险登记册!$F$4:$F$203,IF($B$2="全部","&lt;&gt;",$B$2),风险登记册!$Q$4:$Q$203,"&gt;"&amp;$I90)+COUNTIFS(风险登记册!$F$4:$F$203,IF($B$2="全部","&lt;&gt;",$B$2),风险登记册!$Q$4:$Q$203,$I90,风险登记册!$A$4:$A$203,"&lt;"&amp;$B90)+1)</f>
        <v/>
      </c>
      <c r="B90" s="32">
        <f>IF($B90="","",风险登记册!A73)</f>
        <v/>
      </c>
      <c r="C90" s="33">
        <f>IF($B90="","",风险登记册!B73)</f>
        <v/>
      </c>
      <c r="D90" s="33">
        <f>IF($B90="","",风险登记册!C73)</f>
        <v/>
      </c>
      <c r="E90" s="33">
        <f>IF($B90="","",风险登记册!E73)</f>
        <v/>
      </c>
      <c r="F90" s="32">
        <f>IF($B90="","",风险登记册!G73)</f>
        <v/>
      </c>
      <c r="G90" s="30">
        <f>IF($B90="","",风险登记册!N73)</f>
        <v/>
      </c>
      <c r="H90" s="32">
        <f>IF($B90="","",风险登记册!O73)</f>
        <v/>
      </c>
      <c r="I90" s="30">
        <f>IF($B90="","",风险登记册!Q73)</f>
        <v/>
      </c>
      <c r="J90" s="32">
        <f>IF($B90="","",风险登记册!R73)</f>
        <v/>
      </c>
      <c r="K90" s="32">
        <f>IF($B90="","",IF($J90="极高","每年必审",IF($J90="高","每年审计",IF($J90="中","两年一轮","按需抽查"))))</f>
        <v/>
      </c>
    </row>
    <row r="91">
      <c r="A91" s="32">
        <f>IF($B91="","",COUNTIFS(风险登记册!$F$4:$F$203,IF($B$2="全部","&lt;&gt;",$B$2),风险登记册!$Q$4:$Q$203,"&gt;"&amp;$I91)+COUNTIFS(风险登记册!$F$4:$F$203,IF($B$2="全部","&lt;&gt;",$B$2),风险登记册!$Q$4:$Q$203,$I91,风险登记册!$A$4:$A$203,"&lt;"&amp;$B91)+1)</f>
        <v/>
      </c>
      <c r="B91" s="32">
        <f>IF($B91="","",风险登记册!A74)</f>
        <v/>
      </c>
      <c r="C91" s="33">
        <f>IF($B91="","",风险登记册!B74)</f>
        <v/>
      </c>
      <c r="D91" s="33">
        <f>IF($B91="","",风险登记册!C74)</f>
        <v/>
      </c>
      <c r="E91" s="33">
        <f>IF($B91="","",风险登记册!E74)</f>
        <v/>
      </c>
      <c r="F91" s="32">
        <f>IF($B91="","",风险登记册!G74)</f>
        <v/>
      </c>
      <c r="G91" s="30">
        <f>IF($B91="","",风险登记册!N74)</f>
        <v/>
      </c>
      <c r="H91" s="32">
        <f>IF($B91="","",风险登记册!O74)</f>
        <v/>
      </c>
      <c r="I91" s="30">
        <f>IF($B91="","",风险登记册!Q74)</f>
        <v/>
      </c>
      <c r="J91" s="32">
        <f>IF($B91="","",风险登记册!R74)</f>
        <v/>
      </c>
      <c r="K91" s="32">
        <f>IF($B91="","",IF($J91="极高","每年必审",IF($J91="高","每年审计",IF($J91="中","两年一轮","按需抽查"))))</f>
        <v/>
      </c>
    </row>
    <row r="92">
      <c r="A92" s="32">
        <f>IF($B92="","",COUNTIFS(风险登记册!$F$4:$F$203,IF($B$2="全部","&lt;&gt;",$B$2),风险登记册!$Q$4:$Q$203,"&gt;"&amp;$I92)+COUNTIFS(风险登记册!$F$4:$F$203,IF($B$2="全部","&lt;&gt;",$B$2),风险登记册!$Q$4:$Q$203,$I92,风险登记册!$A$4:$A$203,"&lt;"&amp;$B92)+1)</f>
        <v/>
      </c>
      <c r="B92" s="32">
        <f>IF($B92="","",风险登记册!A75)</f>
        <v/>
      </c>
      <c r="C92" s="33">
        <f>IF($B92="","",风险登记册!B75)</f>
        <v/>
      </c>
      <c r="D92" s="33">
        <f>IF($B92="","",风险登记册!C75)</f>
        <v/>
      </c>
      <c r="E92" s="33">
        <f>IF($B92="","",风险登记册!E75)</f>
        <v/>
      </c>
      <c r="F92" s="32">
        <f>IF($B92="","",风险登记册!G75)</f>
        <v/>
      </c>
      <c r="G92" s="30">
        <f>IF($B92="","",风险登记册!N75)</f>
        <v/>
      </c>
      <c r="H92" s="32">
        <f>IF($B92="","",风险登记册!O75)</f>
        <v/>
      </c>
      <c r="I92" s="30">
        <f>IF($B92="","",风险登记册!Q75)</f>
        <v/>
      </c>
      <c r="J92" s="32">
        <f>IF($B92="","",风险登记册!R75)</f>
        <v/>
      </c>
      <c r="K92" s="32">
        <f>IF($B92="","",IF($J92="极高","每年必审",IF($J92="高","每年审计",IF($J92="中","两年一轮","按需抽查"))))</f>
        <v/>
      </c>
    </row>
    <row r="93">
      <c r="A93" s="32">
        <f>IF($B93="","",COUNTIFS(风险登记册!$F$4:$F$203,IF($B$2="全部","&lt;&gt;",$B$2),风险登记册!$Q$4:$Q$203,"&gt;"&amp;$I93)+COUNTIFS(风险登记册!$F$4:$F$203,IF($B$2="全部","&lt;&gt;",$B$2),风险登记册!$Q$4:$Q$203,$I93,风险登记册!$A$4:$A$203,"&lt;"&amp;$B93)+1)</f>
        <v/>
      </c>
      <c r="B93" s="32">
        <f>IF($B93="","",风险登记册!A76)</f>
        <v/>
      </c>
      <c r="C93" s="33">
        <f>IF($B93="","",风险登记册!B76)</f>
        <v/>
      </c>
      <c r="D93" s="33">
        <f>IF($B93="","",风险登记册!C76)</f>
        <v/>
      </c>
      <c r="E93" s="33">
        <f>IF($B93="","",风险登记册!E76)</f>
        <v/>
      </c>
      <c r="F93" s="32">
        <f>IF($B93="","",风险登记册!G76)</f>
        <v/>
      </c>
      <c r="G93" s="30">
        <f>IF($B93="","",风险登记册!N76)</f>
        <v/>
      </c>
      <c r="H93" s="32">
        <f>IF($B93="","",风险登记册!O76)</f>
        <v/>
      </c>
      <c r="I93" s="30">
        <f>IF($B93="","",风险登记册!Q76)</f>
        <v/>
      </c>
      <c r="J93" s="32">
        <f>IF($B93="","",风险登记册!R76)</f>
        <v/>
      </c>
      <c r="K93" s="32">
        <f>IF($B93="","",IF($J93="极高","每年必审",IF($J93="高","每年审计",IF($J93="中","两年一轮","按需抽查"))))</f>
        <v/>
      </c>
    </row>
    <row r="94">
      <c r="A94" s="32">
        <f>IF($B94="","",COUNTIFS(风险登记册!$F$4:$F$203,IF($B$2="全部","&lt;&gt;",$B$2),风险登记册!$Q$4:$Q$203,"&gt;"&amp;$I94)+COUNTIFS(风险登记册!$F$4:$F$203,IF($B$2="全部","&lt;&gt;",$B$2),风险登记册!$Q$4:$Q$203,$I94,风险登记册!$A$4:$A$203,"&lt;"&amp;$B94)+1)</f>
        <v/>
      </c>
      <c r="B94" s="32">
        <f>IF($B94="","",风险登记册!A77)</f>
        <v/>
      </c>
      <c r="C94" s="33">
        <f>IF($B94="","",风险登记册!B77)</f>
        <v/>
      </c>
      <c r="D94" s="33">
        <f>IF($B94="","",风险登记册!C77)</f>
        <v/>
      </c>
      <c r="E94" s="33">
        <f>IF($B94="","",风险登记册!E77)</f>
        <v/>
      </c>
      <c r="F94" s="32">
        <f>IF($B94="","",风险登记册!G77)</f>
        <v/>
      </c>
      <c r="G94" s="30">
        <f>IF($B94="","",风险登记册!N77)</f>
        <v/>
      </c>
      <c r="H94" s="32">
        <f>IF($B94="","",风险登记册!O77)</f>
        <v/>
      </c>
      <c r="I94" s="30">
        <f>IF($B94="","",风险登记册!Q77)</f>
        <v/>
      </c>
      <c r="J94" s="32">
        <f>IF($B94="","",风险登记册!R77)</f>
        <v/>
      </c>
      <c r="K94" s="32">
        <f>IF($B94="","",IF($J94="极高","每年必审",IF($J94="高","每年审计",IF($J94="中","两年一轮","按需抽查"))))</f>
        <v/>
      </c>
    </row>
    <row r="95">
      <c r="A95" s="32">
        <f>IF($B95="","",COUNTIFS(风险登记册!$F$4:$F$203,IF($B$2="全部","&lt;&gt;",$B$2),风险登记册!$Q$4:$Q$203,"&gt;"&amp;$I95)+COUNTIFS(风险登记册!$F$4:$F$203,IF($B$2="全部","&lt;&gt;",$B$2),风险登记册!$Q$4:$Q$203,$I95,风险登记册!$A$4:$A$203,"&lt;"&amp;$B95)+1)</f>
        <v/>
      </c>
      <c r="B95" s="32">
        <f>IF($B95="","",风险登记册!A78)</f>
        <v/>
      </c>
      <c r="C95" s="33">
        <f>IF($B95="","",风险登记册!B78)</f>
        <v/>
      </c>
      <c r="D95" s="33">
        <f>IF($B95="","",风险登记册!C78)</f>
        <v/>
      </c>
      <c r="E95" s="33">
        <f>IF($B95="","",风险登记册!E78)</f>
        <v/>
      </c>
      <c r="F95" s="32">
        <f>IF($B95="","",风险登记册!G78)</f>
        <v/>
      </c>
      <c r="G95" s="30">
        <f>IF($B95="","",风险登记册!N78)</f>
        <v/>
      </c>
      <c r="H95" s="32">
        <f>IF($B95="","",风险登记册!O78)</f>
        <v/>
      </c>
      <c r="I95" s="30">
        <f>IF($B95="","",风险登记册!Q78)</f>
        <v/>
      </c>
      <c r="J95" s="32">
        <f>IF($B95="","",风险登记册!R78)</f>
        <v/>
      </c>
      <c r="K95" s="32">
        <f>IF($B95="","",IF($J95="极高","每年必审",IF($J95="高","每年审计",IF($J95="中","两年一轮","按需抽查"))))</f>
        <v/>
      </c>
    </row>
    <row r="96">
      <c r="A96" s="32">
        <f>IF($B96="","",COUNTIFS(风险登记册!$F$4:$F$203,IF($B$2="全部","&lt;&gt;",$B$2),风险登记册!$Q$4:$Q$203,"&gt;"&amp;$I96)+COUNTIFS(风险登记册!$F$4:$F$203,IF($B$2="全部","&lt;&gt;",$B$2),风险登记册!$Q$4:$Q$203,$I96,风险登记册!$A$4:$A$203,"&lt;"&amp;$B96)+1)</f>
        <v/>
      </c>
      <c r="B96" s="32">
        <f>IF($B96="","",风险登记册!A79)</f>
        <v/>
      </c>
      <c r="C96" s="33">
        <f>IF($B96="","",风险登记册!B79)</f>
        <v/>
      </c>
      <c r="D96" s="33">
        <f>IF($B96="","",风险登记册!C79)</f>
        <v/>
      </c>
      <c r="E96" s="33">
        <f>IF($B96="","",风险登记册!E79)</f>
        <v/>
      </c>
      <c r="F96" s="32">
        <f>IF($B96="","",风险登记册!G79)</f>
        <v/>
      </c>
      <c r="G96" s="30">
        <f>IF($B96="","",风险登记册!N79)</f>
        <v/>
      </c>
      <c r="H96" s="32">
        <f>IF($B96="","",风险登记册!O79)</f>
        <v/>
      </c>
      <c r="I96" s="30">
        <f>IF($B96="","",风险登记册!Q79)</f>
        <v/>
      </c>
      <c r="J96" s="32">
        <f>IF($B96="","",风险登记册!R79)</f>
        <v/>
      </c>
      <c r="K96" s="32">
        <f>IF($B96="","",IF($J96="极高","每年必审",IF($J96="高","每年审计",IF($J96="中","两年一轮","按需抽查"))))</f>
        <v/>
      </c>
    </row>
    <row r="97">
      <c r="A97" s="32">
        <f>IF($B97="","",COUNTIFS(风险登记册!$F$4:$F$203,IF($B$2="全部","&lt;&gt;",$B$2),风险登记册!$Q$4:$Q$203,"&gt;"&amp;$I97)+COUNTIFS(风险登记册!$F$4:$F$203,IF($B$2="全部","&lt;&gt;",$B$2),风险登记册!$Q$4:$Q$203,$I97,风险登记册!$A$4:$A$203,"&lt;"&amp;$B97)+1)</f>
        <v/>
      </c>
      <c r="B97" s="32">
        <f>IF($B97="","",风险登记册!A80)</f>
        <v/>
      </c>
      <c r="C97" s="33">
        <f>IF($B97="","",风险登记册!B80)</f>
        <v/>
      </c>
      <c r="D97" s="33">
        <f>IF($B97="","",风险登记册!C80)</f>
        <v/>
      </c>
      <c r="E97" s="33">
        <f>IF($B97="","",风险登记册!E80)</f>
        <v/>
      </c>
      <c r="F97" s="32">
        <f>IF($B97="","",风险登记册!G80)</f>
        <v/>
      </c>
      <c r="G97" s="30">
        <f>IF($B97="","",风险登记册!N80)</f>
        <v/>
      </c>
      <c r="H97" s="32">
        <f>IF($B97="","",风险登记册!O80)</f>
        <v/>
      </c>
      <c r="I97" s="30">
        <f>IF($B97="","",风险登记册!Q80)</f>
        <v/>
      </c>
      <c r="J97" s="32">
        <f>IF($B97="","",风险登记册!R80)</f>
        <v/>
      </c>
      <c r="K97" s="32">
        <f>IF($B97="","",IF($J97="极高","每年必审",IF($J97="高","每年审计",IF($J97="中","两年一轮","按需抽查"))))</f>
        <v/>
      </c>
    </row>
    <row r="98">
      <c r="A98" s="32">
        <f>IF($B98="","",COUNTIFS(风险登记册!$F$4:$F$203,IF($B$2="全部","&lt;&gt;",$B$2),风险登记册!$Q$4:$Q$203,"&gt;"&amp;$I98)+COUNTIFS(风险登记册!$F$4:$F$203,IF($B$2="全部","&lt;&gt;",$B$2),风险登记册!$Q$4:$Q$203,$I98,风险登记册!$A$4:$A$203,"&lt;"&amp;$B98)+1)</f>
        <v/>
      </c>
      <c r="B98" s="32">
        <f>IF($B98="","",风险登记册!A81)</f>
        <v/>
      </c>
      <c r="C98" s="33">
        <f>IF($B98="","",风险登记册!B81)</f>
        <v/>
      </c>
      <c r="D98" s="33">
        <f>IF($B98="","",风险登记册!C81)</f>
        <v/>
      </c>
      <c r="E98" s="33">
        <f>IF($B98="","",风险登记册!E81)</f>
        <v/>
      </c>
      <c r="F98" s="32">
        <f>IF($B98="","",风险登记册!G81)</f>
        <v/>
      </c>
      <c r="G98" s="30">
        <f>IF($B98="","",风险登记册!N81)</f>
        <v/>
      </c>
      <c r="H98" s="32">
        <f>IF($B98="","",风险登记册!O81)</f>
        <v/>
      </c>
      <c r="I98" s="30">
        <f>IF($B98="","",风险登记册!Q81)</f>
        <v/>
      </c>
      <c r="J98" s="32">
        <f>IF($B98="","",风险登记册!R81)</f>
        <v/>
      </c>
      <c r="K98" s="32">
        <f>IF($B98="","",IF($J98="极高","每年必审",IF($J98="高","每年审计",IF($J98="中","两年一轮","按需抽查"))))</f>
        <v/>
      </c>
    </row>
    <row r="99">
      <c r="A99" s="32">
        <f>IF($B99="","",COUNTIFS(风险登记册!$F$4:$F$203,IF($B$2="全部","&lt;&gt;",$B$2),风险登记册!$Q$4:$Q$203,"&gt;"&amp;$I99)+COUNTIFS(风险登记册!$F$4:$F$203,IF($B$2="全部","&lt;&gt;",$B$2),风险登记册!$Q$4:$Q$203,$I99,风险登记册!$A$4:$A$203,"&lt;"&amp;$B99)+1)</f>
        <v/>
      </c>
      <c r="B99" s="32">
        <f>IF($B99="","",风险登记册!A82)</f>
        <v/>
      </c>
      <c r="C99" s="33">
        <f>IF($B99="","",风险登记册!B82)</f>
        <v/>
      </c>
      <c r="D99" s="33">
        <f>IF($B99="","",风险登记册!C82)</f>
        <v/>
      </c>
      <c r="E99" s="33">
        <f>IF($B99="","",风险登记册!E82)</f>
        <v/>
      </c>
      <c r="F99" s="32">
        <f>IF($B99="","",风险登记册!G82)</f>
        <v/>
      </c>
      <c r="G99" s="30">
        <f>IF($B99="","",风险登记册!N82)</f>
        <v/>
      </c>
      <c r="H99" s="32">
        <f>IF($B99="","",风险登记册!O82)</f>
        <v/>
      </c>
      <c r="I99" s="30">
        <f>IF($B99="","",风险登记册!Q82)</f>
        <v/>
      </c>
      <c r="J99" s="32">
        <f>IF($B99="","",风险登记册!R82)</f>
        <v/>
      </c>
      <c r="K99" s="32">
        <f>IF($B99="","",IF($J99="极高","每年必审",IF($J99="高","每年审计",IF($J99="中","两年一轮","按需抽查"))))</f>
        <v/>
      </c>
    </row>
    <row r="100">
      <c r="A100" s="32">
        <f>IF($B100="","",COUNTIFS(风险登记册!$F$4:$F$203,IF($B$2="全部","&lt;&gt;",$B$2),风险登记册!$Q$4:$Q$203,"&gt;"&amp;$I100)+COUNTIFS(风险登记册!$F$4:$F$203,IF($B$2="全部","&lt;&gt;",$B$2),风险登记册!$Q$4:$Q$203,$I100,风险登记册!$A$4:$A$203,"&lt;"&amp;$B100)+1)</f>
        <v/>
      </c>
      <c r="B100" s="32">
        <f>IF($B100="","",风险登记册!A83)</f>
        <v/>
      </c>
      <c r="C100" s="33">
        <f>IF($B100="","",风险登记册!B83)</f>
        <v/>
      </c>
      <c r="D100" s="33">
        <f>IF($B100="","",风险登记册!C83)</f>
        <v/>
      </c>
      <c r="E100" s="33">
        <f>IF($B100="","",风险登记册!E83)</f>
        <v/>
      </c>
      <c r="F100" s="32">
        <f>IF($B100="","",风险登记册!G83)</f>
        <v/>
      </c>
      <c r="G100" s="30">
        <f>IF($B100="","",风险登记册!N83)</f>
        <v/>
      </c>
      <c r="H100" s="32">
        <f>IF($B100="","",风险登记册!O83)</f>
        <v/>
      </c>
      <c r="I100" s="30">
        <f>IF($B100="","",风险登记册!Q83)</f>
        <v/>
      </c>
      <c r="J100" s="32">
        <f>IF($B100="","",风险登记册!R83)</f>
        <v/>
      </c>
      <c r="K100" s="32">
        <f>IF($B100="","",IF($J100="极高","每年必审",IF($J100="高","每年审计",IF($J100="中","两年一轮","按需抽查"))))</f>
        <v/>
      </c>
    </row>
  </sheetData>
  <conditionalFormatting sqref="D6">
    <cfRule type="expression" priority="1" dxfId="6" stopIfTrue="1">
      <formula>AND(ISNUMBER(D6),D6&gt;=参数配置!$B$12)</formula>
    </cfRule>
    <cfRule type="expression" priority="2" dxfId="7" stopIfTrue="1">
      <formula>AND(ISNUMBER(D6),D6&gt;=参数配置!$B$13,D6&lt;参数配置!$B$12)</formula>
    </cfRule>
    <cfRule type="expression" priority="3" dxfId="8" stopIfTrue="1">
      <formula>AND(ISNUMBER(D6),D6&gt;=参数配置!$B$14,D6&lt;参数配置!$B$13)</formula>
    </cfRule>
    <cfRule type="expression" priority="4" dxfId="9" stopIfTrue="1">
      <formula>AND(ISNUMBER(D6),D6&gt;=参数配置!$B$15,D6&lt;参数配置!$B$14)</formula>
    </cfRule>
    <cfRule type="expression" priority="5" dxfId="10" stopIfTrue="1">
      <formula>AND(ISNUMBER(D6),D6&lt;参数配置!$B$15)</formula>
    </cfRule>
  </conditionalFormatting>
  <conditionalFormatting sqref="D7">
    <cfRule type="expression" priority="6" dxfId="6" stopIfTrue="1">
      <formula>AND(ISNUMBER(D7),D7&gt;=参数配置!$B$12)</formula>
    </cfRule>
    <cfRule type="expression" priority="7" dxfId="7" stopIfTrue="1">
      <formula>AND(ISNUMBER(D7),D7&gt;=参数配置!$B$13,D7&lt;参数配置!$B$12)</formula>
    </cfRule>
    <cfRule type="expression" priority="8" dxfId="8" stopIfTrue="1">
      <formula>AND(ISNUMBER(D7),D7&gt;=参数配置!$B$14,D7&lt;参数配置!$B$13)</formula>
    </cfRule>
    <cfRule type="expression" priority="9" dxfId="9" stopIfTrue="1">
      <formula>AND(ISNUMBER(D7),D7&gt;=参数配置!$B$15,D7&lt;参数配置!$B$14)</formula>
    </cfRule>
    <cfRule type="expression" priority="10" dxfId="10" stopIfTrue="1">
      <formula>AND(ISNUMBER(D7),D7&lt;参数配置!$B$15)</formula>
    </cfRule>
  </conditionalFormatting>
  <conditionalFormatting sqref="D8">
    <cfRule type="expression" priority="11" dxfId="6" stopIfTrue="1">
      <formula>AND(ISNUMBER(D8),D8&gt;=参数配置!$B$12)</formula>
    </cfRule>
    <cfRule type="expression" priority="12" dxfId="7" stopIfTrue="1">
      <formula>AND(ISNUMBER(D8),D8&gt;=参数配置!$B$13,D8&lt;参数配置!$B$12)</formula>
    </cfRule>
    <cfRule type="expression" priority="13" dxfId="8" stopIfTrue="1">
      <formula>AND(ISNUMBER(D8),D8&gt;=参数配置!$B$14,D8&lt;参数配置!$B$13)</formula>
    </cfRule>
    <cfRule type="expression" priority="14" dxfId="9" stopIfTrue="1">
      <formula>AND(ISNUMBER(D8),D8&gt;=参数配置!$B$15,D8&lt;参数配置!$B$14)</formula>
    </cfRule>
    <cfRule type="expression" priority="15" dxfId="10" stopIfTrue="1">
      <formula>AND(ISNUMBER(D8),D8&lt;参数配置!$B$15)</formula>
    </cfRule>
  </conditionalFormatting>
  <conditionalFormatting sqref="D9">
    <cfRule type="expression" priority="16" dxfId="6" stopIfTrue="1">
      <formula>AND(ISNUMBER(D9),D9&gt;=参数配置!$B$12)</formula>
    </cfRule>
    <cfRule type="expression" priority="17" dxfId="7" stopIfTrue="1">
      <formula>AND(ISNUMBER(D9),D9&gt;=参数配置!$B$13,D9&lt;参数配置!$B$12)</formula>
    </cfRule>
    <cfRule type="expression" priority="18" dxfId="8" stopIfTrue="1">
      <formula>AND(ISNUMBER(D9),D9&gt;=参数配置!$B$14,D9&lt;参数配置!$B$13)</formula>
    </cfRule>
    <cfRule type="expression" priority="19" dxfId="9" stopIfTrue="1">
      <formula>AND(ISNUMBER(D9),D9&gt;=参数配置!$B$15,D9&lt;参数配置!$B$14)</formula>
    </cfRule>
    <cfRule type="expression" priority="20" dxfId="10" stopIfTrue="1">
      <formula>AND(ISNUMBER(D9),D9&lt;参数配置!$B$15)</formula>
    </cfRule>
  </conditionalFormatting>
  <conditionalFormatting sqref="D10">
    <cfRule type="expression" priority="21" dxfId="6" stopIfTrue="1">
      <formula>AND(ISNUMBER(D10),D10&gt;=参数配置!$B$12)</formula>
    </cfRule>
    <cfRule type="expression" priority="22" dxfId="7" stopIfTrue="1">
      <formula>AND(ISNUMBER(D10),D10&gt;=参数配置!$B$13,D10&lt;参数配置!$B$12)</formula>
    </cfRule>
    <cfRule type="expression" priority="23" dxfId="8" stopIfTrue="1">
      <formula>AND(ISNUMBER(D10),D10&gt;=参数配置!$B$14,D10&lt;参数配置!$B$13)</formula>
    </cfRule>
    <cfRule type="expression" priority="24" dxfId="9" stopIfTrue="1">
      <formula>AND(ISNUMBER(D10),D10&gt;=参数配置!$B$15,D10&lt;参数配置!$B$14)</formula>
    </cfRule>
    <cfRule type="expression" priority="25" dxfId="10" stopIfTrue="1">
      <formula>AND(ISNUMBER(D10),D10&lt;参数配置!$B$15)</formula>
    </cfRule>
  </conditionalFormatting>
  <conditionalFormatting sqref="D11">
    <cfRule type="expression" priority="26" dxfId="6" stopIfTrue="1">
      <formula>AND(ISNUMBER(D11),D11&gt;=参数配置!$B$12)</formula>
    </cfRule>
    <cfRule type="expression" priority="27" dxfId="7" stopIfTrue="1">
      <formula>AND(ISNUMBER(D11),D11&gt;=参数配置!$B$13,D11&lt;参数配置!$B$12)</formula>
    </cfRule>
    <cfRule type="expression" priority="28" dxfId="8" stopIfTrue="1">
      <formula>AND(ISNUMBER(D11),D11&gt;=参数配置!$B$14,D11&lt;参数配置!$B$13)</formula>
    </cfRule>
    <cfRule type="expression" priority="29" dxfId="9" stopIfTrue="1">
      <formula>AND(ISNUMBER(D11),D11&gt;=参数配置!$B$15,D11&lt;参数配置!$B$14)</formula>
    </cfRule>
    <cfRule type="expression" priority="30" dxfId="10" stopIfTrue="1">
      <formula>AND(ISNUMBER(D11),D11&lt;参数配置!$B$15)</formula>
    </cfRule>
  </conditionalFormatting>
  <conditionalFormatting sqref="D12">
    <cfRule type="expression" priority="31" dxfId="6" stopIfTrue="1">
      <formula>AND(ISNUMBER(D12),D12&gt;=参数配置!$B$12)</formula>
    </cfRule>
    <cfRule type="expression" priority="32" dxfId="7" stopIfTrue="1">
      <formula>AND(ISNUMBER(D12),D12&gt;=参数配置!$B$13,D12&lt;参数配置!$B$12)</formula>
    </cfRule>
    <cfRule type="expression" priority="33" dxfId="8" stopIfTrue="1">
      <formula>AND(ISNUMBER(D12),D12&gt;=参数配置!$B$14,D12&lt;参数配置!$B$13)</formula>
    </cfRule>
    <cfRule type="expression" priority="34" dxfId="9" stopIfTrue="1">
      <formula>AND(ISNUMBER(D12),D12&gt;=参数配置!$B$15,D12&lt;参数配置!$B$14)</formula>
    </cfRule>
    <cfRule type="expression" priority="35" dxfId="10" stopIfTrue="1">
      <formula>AND(ISNUMBER(D12),D12&lt;参数配置!$B$15)</formula>
    </cfRule>
  </conditionalFormatting>
  <conditionalFormatting sqref="D13">
    <cfRule type="expression" priority="36" dxfId="6" stopIfTrue="1">
      <formula>AND(ISNUMBER(D13),D13&gt;=参数配置!$B$12)</formula>
    </cfRule>
    <cfRule type="expression" priority="37" dxfId="7" stopIfTrue="1">
      <formula>AND(ISNUMBER(D13),D13&gt;=参数配置!$B$13,D13&lt;参数配置!$B$12)</formula>
    </cfRule>
    <cfRule type="expression" priority="38" dxfId="8" stopIfTrue="1">
      <formula>AND(ISNUMBER(D13),D13&gt;=参数配置!$B$14,D13&lt;参数配置!$B$13)</formula>
    </cfRule>
    <cfRule type="expression" priority="39" dxfId="9" stopIfTrue="1">
      <formula>AND(ISNUMBER(D13),D13&gt;=参数配置!$B$15,D13&lt;参数配置!$B$14)</formula>
    </cfRule>
    <cfRule type="expression" priority="40" dxfId="10" stopIfTrue="1">
      <formula>AND(ISNUMBER(D13),D13&lt;参数配置!$B$15)</formula>
    </cfRule>
  </conditionalFormatting>
  <conditionalFormatting sqref="D14">
    <cfRule type="expression" priority="41" dxfId="6" stopIfTrue="1">
      <formula>AND(ISNUMBER(D14),D14&gt;=参数配置!$B$12)</formula>
    </cfRule>
    <cfRule type="expression" priority="42" dxfId="7" stopIfTrue="1">
      <formula>AND(ISNUMBER(D14),D14&gt;=参数配置!$B$13,D14&lt;参数配置!$B$12)</formula>
    </cfRule>
    <cfRule type="expression" priority="43" dxfId="8" stopIfTrue="1">
      <formula>AND(ISNUMBER(D14),D14&gt;=参数配置!$B$14,D14&lt;参数配置!$B$13)</formula>
    </cfRule>
    <cfRule type="expression" priority="44" dxfId="9" stopIfTrue="1">
      <formula>AND(ISNUMBER(D14),D14&gt;=参数配置!$B$15,D14&lt;参数配置!$B$14)</formula>
    </cfRule>
    <cfRule type="expression" priority="45" dxfId="10" stopIfTrue="1">
      <formula>AND(ISNUMBER(D14),D14&lt;参数配置!$B$15)</formula>
    </cfRule>
  </conditionalFormatting>
  <conditionalFormatting sqref="D15">
    <cfRule type="expression" priority="46" dxfId="6" stopIfTrue="1">
      <formula>AND(ISNUMBER(D15),D15&gt;=参数配置!$B$12)</formula>
    </cfRule>
    <cfRule type="expression" priority="47" dxfId="7" stopIfTrue="1">
      <formula>AND(ISNUMBER(D15),D15&gt;=参数配置!$B$13,D15&lt;参数配置!$B$12)</formula>
    </cfRule>
    <cfRule type="expression" priority="48" dxfId="8" stopIfTrue="1">
      <formula>AND(ISNUMBER(D15),D15&gt;=参数配置!$B$14,D15&lt;参数配置!$B$13)</formula>
    </cfRule>
    <cfRule type="expression" priority="49" dxfId="9" stopIfTrue="1">
      <formula>AND(ISNUMBER(D15),D15&gt;=参数配置!$B$15,D15&lt;参数配置!$B$14)</formula>
    </cfRule>
    <cfRule type="expression" priority="50" dxfId="10" stopIfTrue="1">
      <formula>AND(ISNUMBER(D15),D15&lt;参数配置!$B$15)</formula>
    </cfRule>
  </conditionalFormatting>
  <conditionalFormatting sqref="D16">
    <cfRule type="expression" priority="51" dxfId="6" stopIfTrue="1">
      <formula>AND(ISNUMBER(D16),D16&gt;=参数配置!$B$12)</formula>
    </cfRule>
    <cfRule type="expression" priority="52" dxfId="7" stopIfTrue="1">
      <formula>AND(ISNUMBER(D16),D16&gt;=参数配置!$B$13,D16&lt;参数配置!$B$12)</formula>
    </cfRule>
    <cfRule type="expression" priority="53" dxfId="8" stopIfTrue="1">
      <formula>AND(ISNUMBER(D16),D16&gt;=参数配置!$B$14,D16&lt;参数配置!$B$13)</formula>
    </cfRule>
    <cfRule type="expression" priority="54" dxfId="9" stopIfTrue="1">
      <formula>AND(ISNUMBER(D16),D16&gt;=参数配置!$B$15,D16&lt;参数配置!$B$14)</formula>
    </cfRule>
    <cfRule type="expression" priority="55" dxfId="10" stopIfTrue="1">
      <formula>AND(ISNUMBER(D16),D16&lt;参数配置!$B$15)</formula>
    </cfRule>
  </conditionalFormatting>
  <conditionalFormatting sqref="D17">
    <cfRule type="expression" priority="56" dxfId="6" stopIfTrue="1">
      <formula>AND(ISNUMBER(D17),D17&gt;=参数配置!$B$12)</formula>
    </cfRule>
    <cfRule type="expression" priority="57" dxfId="7" stopIfTrue="1">
      <formula>AND(ISNUMBER(D17),D17&gt;=参数配置!$B$13,D17&lt;参数配置!$B$12)</formula>
    </cfRule>
    <cfRule type="expression" priority="58" dxfId="8" stopIfTrue="1">
      <formula>AND(ISNUMBER(D17),D17&gt;=参数配置!$B$14,D17&lt;参数配置!$B$13)</formula>
    </cfRule>
    <cfRule type="expression" priority="59" dxfId="9" stopIfTrue="1">
      <formula>AND(ISNUMBER(D17),D17&gt;=参数配置!$B$15,D17&lt;参数配置!$B$14)</formula>
    </cfRule>
    <cfRule type="expression" priority="60" dxfId="10" stopIfTrue="1">
      <formula>AND(ISNUMBER(D17),D17&lt;参数配置!$B$15)</formula>
    </cfRule>
  </conditionalFormatting>
  <conditionalFormatting sqref="J21">
    <cfRule type="expression" priority="61" dxfId="1" stopIfTrue="1">
      <formula>$J21="极高"</formula>
    </cfRule>
    <cfRule type="expression" priority="62" dxfId="2" stopIfTrue="1">
      <formula>$J21="高"</formula>
    </cfRule>
    <cfRule type="expression" priority="63" dxfId="3" stopIfTrue="1">
      <formula>$J21="中"</formula>
    </cfRule>
    <cfRule type="expression" priority="64" dxfId="4" stopIfTrue="1">
      <formula>$J21="低"</formula>
    </cfRule>
    <cfRule type="expression" priority="65" dxfId="5" stopIfTrue="1">
      <formula>$J21="极低"</formula>
    </cfRule>
  </conditionalFormatting>
  <conditionalFormatting sqref="J22">
    <cfRule type="expression" priority="66" dxfId="1" stopIfTrue="1">
      <formula>$J22="极高"</formula>
    </cfRule>
    <cfRule type="expression" priority="67" dxfId="2" stopIfTrue="1">
      <formula>$J22="高"</formula>
    </cfRule>
    <cfRule type="expression" priority="68" dxfId="3" stopIfTrue="1">
      <formula>$J22="中"</formula>
    </cfRule>
    <cfRule type="expression" priority="69" dxfId="4" stopIfTrue="1">
      <formula>$J22="低"</formula>
    </cfRule>
    <cfRule type="expression" priority="70" dxfId="5" stopIfTrue="1">
      <formula>$J22="极低"</formula>
    </cfRule>
  </conditionalFormatting>
  <conditionalFormatting sqref="J23">
    <cfRule type="expression" priority="71" dxfId="1" stopIfTrue="1">
      <formula>$J23="极高"</formula>
    </cfRule>
    <cfRule type="expression" priority="72" dxfId="2" stopIfTrue="1">
      <formula>$J23="高"</formula>
    </cfRule>
    <cfRule type="expression" priority="73" dxfId="3" stopIfTrue="1">
      <formula>$J23="中"</formula>
    </cfRule>
    <cfRule type="expression" priority="74" dxfId="4" stopIfTrue="1">
      <formula>$J23="低"</formula>
    </cfRule>
    <cfRule type="expression" priority="75" dxfId="5" stopIfTrue="1">
      <formula>$J23="极低"</formula>
    </cfRule>
  </conditionalFormatting>
  <conditionalFormatting sqref="J24">
    <cfRule type="expression" priority="76" dxfId="1" stopIfTrue="1">
      <formula>$J24="极高"</formula>
    </cfRule>
    <cfRule type="expression" priority="77" dxfId="2" stopIfTrue="1">
      <formula>$J24="高"</formula>
    </cfRule>
    <cfRule type="expression" priority="78" dxfId="3" stopIfTrue="1">
      <formula>$J24="中"</formula>
    </cfRule>
    <cfRule type="expression" priority="79" dxfId="4" stopIfTrue="1">
      <formula>$J24="低"</formula>
    </cfRule>
    <cfRule type="expression" priority="80" dxfId="5" stopIfTrue="1">
      <formula>$J24="极低"</formula>
    </cfRule>
  </conditionalFormatting>
  <conditionalFormatting sqref="J25">
    <cfRule type="expression" priority="81" dxfId="1" stopIfTrue="1">
      <formula>$J25="极高"</formula>
    </cfRule>
    <cfRule type="expression" priority="82" dxfId="2" stopIfTrue="1">
      <formula>$J25="高"</formula>
    </cfRule>
    <cfRule type="expression" priority="83" dxfId="3" stopIfTrue="1">
      <formula>$J25="中"</formula>
    </cfRule>
    <cfRule type="expression" priority="84" dxfId="4" stopIfTrue="1">
      <formula>$J25="低"</formula>
    </cfRule>
    <cfRule type="expression" priority="85" dxfId="5" stopIfTrue="1">
      <formula>$J25="极低"</formula>
    </cfRule>
  </conditionalFormatting>
  <conditionalFormatting sqref="J26">
    <cfRule type="expression" priority="86" dxfId="1" stopIfTrue="1">
      <formula>$J26="极高"</formula>
    </cfRule>
    <cfRule type="expression" priority="87" dxfId="2" stopIfTrue="1">
      <formula>$J26="高"</formula>
    </cfRule>
    <cfRule type="expression" priority="88" dxfId="3" stopIfTrue="1">
      <formula>$J26="中"</formula>
    </cfRule>
    <cfRule type="expression" priority="89" dxfId="4" stopIfTrue="1">
      <formula>$J26="低"</formula>
    </cfRule>
    <cfRule type="expression" priority="90" dxfId="5" stopIfTrue="1">
      <formula>$J26="极低"</formula>
    </cfRule>
  </conditionalFormatting>
  <conditionalFormatting sqref="J27">
    <cfRule type="expression" priority="91" dxfId="1" stopIfTrue="1">
      <formula>$J27="极高"</formula>
    </cfRule>
    <cfRule type="expression" priority="92" dxfId="2" stopIfTrue="1">
      <formula>$J27="高"</formula>
    </cfRule>
    <cfRule type="expression" priority="93" dxfId="3" stopIfTrue="1">
      <formula>$J27="中"</formula>
    </cfRule>
    <cfRule type="expression" priority="94" dxfId="4" stopIfTrue="1">
      <formula>$J27="低"</formula>
    </cfRule>
    <cfRule type="expression" priority="95" dxfId="5" stopIfTrue="1">
      <formula>$J27="极低"</formula>
    </cfRule>
  </conditionalFormatting>
  <conditionalFormatting sqref="J28">
    <cfRule type="expression" priority="96" dxfId="1" stopIfTrue="1">
      <formula>$J28="极高"</formula>
    </cfRule>
    <cfRule type="expression" priority="97" dxfId="2" stopIfTrue="1">
      <formula>$J28="高"</formula>
    </cfRule>
    <cfRule type="expression" priority="98" dxfId="3" stopIfTrue="1">
      <formula>$J28="中"</formula>
    </cfRule>
    <cfRule type="expression" priority="99" dxfId="4" stopIfTrue="1">
      <formula>$J28="低"</formula>
    </cfRule>
    <cfRule type="expression" priority="100" dxfId="5" stopIfTrue="1">
      <formula>$J28="极低"</formula>
    </cfRule>
  </conditionalFormatting>
  <conditionalFormatting sqref="J29">
    <cfRule type="expression" priority="101" dxfId="1" stopIfTrue="1">
      <formula>$J29="极高"</formula>
    </cfRule>
    <cfRule type="expression" priority="102" dxfId="2" stopIfTrue="1">
      <formula>$J29="高"</formula>
    </cfRule>
    <cfRule type="expression" priority="103" dxfId="3" stopIfTrue="1">
      <formula>$J29="中"</formula>
    </cfRule>
    <cfRule type="expression" priority="104" dxfId="4" stopIfTrue="1">
      <formula>$J29="低"</formula>
    </cfRule>
    <cfRule type="expression" priority="105" dxfId="5" stopIfTrue="1">
      <formula>$J29="极低"</formula>
    </cfRule>
  </conditionalFormatting>
  <conditionalFormatting sqref="J30">
    <cfRule type="expression" priority="106" dxfId="1" stopIfTrue="1">
      <formula>$J30="极高"</formula>
    </cfRule>
    <cfRule type="expression" priority="107" dxfId="2" stopIfTrue="1">
      <formula>$J30="高"</formula>
    </cfRule>
    <cfRule type="expression" priority="108" dxfId="3" stopIfTrue="1">
      <formula>$J30="中"</formula>
    </cfRule>
    <cfRule type="expression" priority="109" dxfId="4" stopIfTrue="1">
      <formula>$J30="低"</formula>
    </cfRule>
    <cfRule type="expression" priority="110" dxfId="5" stopIfTrue="1">
      <formula>$J30="极低"</formula>
    </cfRule>
  </conditionalFormatting>
  <conditionalFormatting sqref="J31">
    <cfRule type="expression" priority="111" dxfId="1" stopIfTrue="1">
      <formula>$J31="极高"</formula>
    </cfRule>
    <cfRule type="expression" priority="112" dxfId="2" stopIfTrue="1">
      <formula>$J31="高"</formula>
    </cfRule>
    <cfRule type="expression" priority="113" dxfId="3" stopIfTrue="1">
      <formula>$J31="中"</formula>
    </cfRule>
    <cfRule type="expression" priority="114" dxfId="4" stopIfTrue="1">
      <formula>$J31="低"</formula>
    </cfRule>
    <cfRule type="expression" priority="115" dxfId="5" stopIfTrue="1">
      <formula>$J31="极低"</formula>
    </cfRule>
  </conditionalFormatting>
  <conditionalFormatting sqref="J32">
    <cfRule type="expression" priority="116" dxfId="1" stopIfTrue="1">
      <formula>$J32="极高"</formula>
    </cfRule>
    <cfRule type="expression" priority="117" dxfId="2" stopIfTrue="1">
      <formula>$J32="高"</formula>
    </cfRule>
    <cfRule type="expression" priority="118" dxfId="3" stopIfTrue="1">
      <formula>$J32="中"</formula>
    </cfRule>
    <cfRule type="expression" priority="119" dxfId="4" stopIfTrue="1">
      <formula>$J32="低"</formula>
    </cfRule>
    <cfRule type="expression" priority="120" dxfId="5" stopIfTrue="1">
      <formula>$J32="极低"</formula>
    </cfRule>
  </conditionalFormatting>
  <conditionalFormatting sqref="J33">
    <cfRule type="expression" priority="121" dxfId="1" stopIfTrue="1">
      <formula>$J33="极高"</formula>
    </cfRule>
    <cfRule type="expression" priority="122" dxfId="2" stopIfTrue="1">
      <formula>$J33="高"</formula>
    </cfRule>
    <cfRule type="expression" priority="123" dxfId="3" stopIfTrue="1">
      <formula>$J33="中"</formula>
    </cfRule>
    <cfRule type="expression" priority="124" dxfId="4" stopIfTrue="1">
      <formula>$J33="低"</formula>
    </cfRule>
    <cfRule type="expression" priority="125" dxfId="5" stopIfTrue="1">
      <formula>$J33="极低"</formula>
    </cfRule>
  </conditionalFormatting>
  <conditionalFormatting sqref="J34">
    <cfRule type="expression" priority="126" dxfId="1" stopIfTrue="1">
      <formula>$J34="极高"</formula>
    </cfRule>
    <cfRule type="expression" priority="127" dxfId="2" stopIfTrue="1">
      <formula>$J34="高"</formula>
    </cfRule>
    <cfRule type="expression" priority="128" dxfId="3" stopIfTrue="1">
      <formula>$J34="中"</formula>
    </cfRule>
    <cfRule type="expression" priority="129" dxfId="4" stopIfTrue="1">
      <formula>$J34="低"</formula>
    </cfRule>
    <cfRule type="expression" priority="130" dxfId="5" stopIfTrue="1">
      <formula>$J34="极低"</formula>
    </cfRule>
  </conditionalFormatting>
  <conditionalFormatting sqref="J35">
    <cfRule type="expression" priority="131" dxfId="1" stopIfTrue="1">
      <formula>$J35="极高"</formula>
    </cfRule>
    <cfRule type="expression" priority="132" dxfId="2" stopIfTrue="1">
      <formula>$J35="高"</formula>
    </cfRule>
    <cfRule type="expression" priority="133" dxfId="3" stopIfTrue="1">
      <formula>$J35="中"</formula>
    </cfRule>
    <cfRule type="expression" priority="134" dxfId="4" stopIfTrue="1">
      <formula>$J35="低"</formula>
    </cfRule>
    <cfRule type="expression" priority="135" dxfId="5" stopIfTrue="1">
      <formula>$J35="极低"</formula>
    </cfRule>
  </conditionalFormatting>
  <conditionalFormatting sqref="J36">
    <cfRule type="expression" priority="136" dxfId="1" stopIfTrue="1">
      <formula>$J36="极高"</formula>
    </cfRule>
    <cfRule type="expression" priority="137" dxfId="2" stopIfTrue="1">
      <formula>$J36="高"</formula>
    </cfRule>
    <cfRule type="expression" priority="138" dxfId="3" stopIfTrue="1">
      <formula>$J36="中"</formula>
    </cfRule>
    <cfRule type="expression" priority="139" dxfId="4" stopIfTrue="1">
      <formula>$J36="低"</formula>
    </cfRule>
    <cfRule type="expression" priority="140" dxfId="5" stopIfTrue="1">
      <formula>$J36="极低"</formula>
    </cfRule>
  </conditionalFormatting>
  <conditionalFormatting sqref="J37">
    <cfRule type="expression" priority="141" dxfId="1" stopIfTrue="1">
      <formula>$J37="极高"</formula>
    </cfRule>
    <cfRule type="expression" priority="142" dxfId="2" stopIfTrue="1">
      <formula>$J37="高"</formula>
    </cfRule>
    <cfRule type="expression" priority="143" dxfId="3" stopIfTrue="1">
      <formula>$J37="中"</formula>
    </cfRule>
    <cfRule type="expression" priority="144" dxfId="4" stopIfTrue="1">
      <formula>$J37="低"</formula>
    </cfRule>
    <cfRule type="expression" priority="145" dxfId="5" stopIfTrue="1">
      <formula>$J37="极低"</formula>
    </cfRule>
  </conditionalFormatting>
  <conditionalFormatting sqref="J38">
    <cfRule type="expression" priority="146" dxfId="1" stopIfTrue="1">
      <formula>$J38="极高"</formula>
    </cfRule>
    <cfRule type="expression" priority="147" dxfId="2" stopIfTrue="1">
      <formula>$J38="高"</formula>
    </cfRule>
    <cfRule type="expression" priority="148" dxfId="3" stopIfTrue="1">
      <formula>$J38="中"</formula>
    </cfRule>
    <cfRule type="expression" priority="149" dxfId="4" stopIfTrue="1">
      <formula>$J38="低"</formula>
    </cfRule>
    <cfRule type="expression" priority="150" dxfId="5" stopIfTrue="1">
      <formula>$J38="极低"</formula>
    </cfRule>
  </conditionalFormatting>
  <conditionalFormatting sqref="J39">
    <cfRule type="expression" priority="151" dxfId="1" stopIfTrue="1">
      <formula>$J39="极高"</formula>
    </cfRule>
    <cfRule type="expression" priority="152" dxfId="2" stopIfTrue="1">
      <formula>$J39="高"</formula>
    </cfRule>
    <cfRule type="expression" priority="153" dxfId="3" stopIfTrue="1">
      <formula>$J39="中"</formula>
    </cfRule>
    <cfRule type="expression" priority="154" dxfId="4" stopIfTrue="1">
      <formula>$J39="低"</formula>
    </cfRule>
    <cfRule type="expression" priority="155" dxfId="5" stopIfTrue="1">
      <formula>$J39="极低"</formula>
    </cfRule>
  </conditionalFormatting>
  <conditionalFormatting sqref="J40">
    <cfRule type="expression" priority="156" dxfId="1" stopIfTrue="1">
      <formula>$J40="极高"</formula>
    </cfRule>
    <cfRule type="expression" priority="157" dxfId="2" stopIfTrue="1">
      <formula>$J40="高"</formula>
    </cfRule>
    <cfRule type="expression" priority="158" dxfId="3" stopIfTrue="1">
      <formula>$J40="中"</formula>
    </cfRule>
    <cfRule type="expression" priority="159" dxfId="4" stopIfTrue="1">
      <formula>$J40="低"</formula>
    </cfRule>
    <cfRule type="expression" priority="160" dxfId="5" stopIfTrue="1">
      <formula>$J40="极低"</formula>
    </cfRule>
  </conditionalFormatting>
  <conditionalFormatting sqref="J41">
    <cfRule type="expression" priority="161" dxfId="1" stopIfTrue="1">
      <formula>$J41="极高"</formula>
    </cfRule>
    <cfRule type="expression" priority="162" dxfId="2" stopIfTrue="1">
      <formula>$J41="高"</formula>
    </cfRule>
    <cfRule type="expression" priority="163" dxfId="3" stopIfTrue="1">
      <formula>$J41="中"</formula>
    </cfRule>
    <cfRule type="expression" priority="164" dxfId="4" stopIfTrue="1">
      <formula>$J41="低"</formula>
    </cfRule>
    <cfRule type="expression" priority="165" dxfId="5" stopIfTrue="1">
      <formula>$J41="极低"</formula>
    </cfRule>
  </conditionalFormatting>
  <conditionalFormatting sqref="J42">
    <cfRule type="expression" priority="166" dxfId="1" stopIfTrue="1">
      <formula>$J42="极高"</formula>
    </cfRule>
    <cfRule type="expression" priority="167" dxfId="2" stopIfTrue="1">
      <formula>$J42="高"</formula>
    </cfRule>
    <cfRule type="expression" priority="168" dxfId="3" stopIfTrue="1">
      <formula>$J42="中"</formula>
    </cfRule>
    <cfRule type="expression" priority="169" dxfId="4" stopIfTrue="1">
      <formula>$J42="低"</formula>
    </cfRule>
    <cfRule type="expression" priority="170" dxfId="5" stopIfTrue="1">
      <formula>$J42="极低"</formula>
    </cfRule>
  </conditionalFormatting>
  <conditionalFormatting sqref="J43">
    <cfRule type="expression" priority="171" dxfId="1" stopIfTrue="1">
      <formula>$J43="极高"</formula>
    </cfRule>
    <cfRule type="expression" priority="172" dxfId="2" stopIfTrue="1">
      <formula>$J43="高"</formula>
    </cfRule>
    <cfRule type="expression" priority="173" dxfId="3" stopIfTrue="1">
      <formula>$J43="中"</formula>
    </cfRule>
    <cfRule type="expression" priority="174" dxfId="4" stopIfTrue="1">
      <formula>$J43="低"</formula>
    </cfRule>
    <cfRule type="expression" priority="175" dxfId="5" stopIfTrue="1">
      <formula>$J43="极低"</formula>
    </cfRule>
  </conditionalFormatting>
  <conditionalFormatting sqref="J44">
    <cfRule type="expression" priority="176" dxfId="1" stopIfTrue="1">
      <formula>$J44="极高"</formula>
    </cfRule>
    <cfRule type="expression" priority="177" dxfId="2" stopIfTrue="1">
      <formula>$J44="高"</formula>
    </cfRule>
    <cfRule type="expression" priority="178" dxfId="3" stopIfTrue="1">
      <formula>$J44="中"</formula>
    </cfRule>
    <cfRule type="expression" priority="179" dxfId="4" stopIfTrue="1">
      <formula>$J44="低"</formula>
    </cfRule>
    <cfRule type="expression" priority="180" dxfId="5" stopIfTrue="1">
      <formula>$J44="极低"</formula>
    </cfRule>
  </conditionalFormatting>
  <conditionalFormatting sqref="J45">
    <cfRule type="expression" priority="181" dxfId="1" stopIfTrue="1">
      <formula>$J45="极高"</formula>
    </cfRule>
    <cfRule type="expression" priority="182" dxfId="2" stopIfTrue="1">
      <formula>$J45="高"</formula>
    </cfRule>
    <cfRule type="expression" priority="183" dxfId="3" stopIfTrue="1">
      <formula>$J45="中"</formula>
    </cfRule>
    <cfRule type="expression" priority="184" dxfId="4" stopIfTrue="1">
      <formula>$J45="低"</formula>
    </cfRule>
    <cfRule type="expression" priority="185" dxfId="5" stopIfTrue="1">
      <formula>$J45="极低"</formula>
    </cfRule>
  </conditionalFormatting>
  <conditionalFormatting sqref="J46">
    <cfRule type="expression" priority="186" dxfId="1" stopIfTrue="1">
      <formula>$J46="极高"</formula>
    </cfRule>
    <cfRule type="expression" priority="187" dxfId="2" stopIfTrue="1">
      <formula>$J46="高"</formula>
    </cfRule>
    <cfRule type="expression" priority="188" dxfId="3" stopIfTrue="1">
      <formula>$J46="中"</formula>
    </cfRule>
    <cfRule type="expression" priority="189" dxfId="4" stopIfTrue="1">
      <formula>$J46="低"</formula>
    </cfRule>
    <cfRule type="expression" priority="190" dxfId="5" stopIfTrue="1">
      <formula>$J46="极低"</formula>
    </cfRule>
  </conditionalFormatting>
  <conditionalFormatting sqref="J47">
    <cfRule type="expression" priority="191" dxfId="1" stopIfTrue="1">
      <formula>$J47="极高"</formula>
    </cfRule>
    <cfRule type="expression" priority="192" dxfId="2" stopIfTrue="1">
      <formula>$J47="高"</formula>
    </cfRule>
    <cfRule type="expression" priority="193" dxfId="3" stopIfTrue="1">
      <formula>$J47="中"</formula>
    </cfRule>
    <cfRule type="expression" priority="194" dxfId="4" stopIfTrue="1">
      <formula>$J47="低"</formula>
    </cfRule>
    <cfRule type="expression" priority="195" dxfId="5" stopIfTrue="1">
      <formula>$J47="极低"</formula>
    </cfRule>
  </conditionalFormatting>
  <conditionalFormatting sqref="J48">
    <cfRule type="expression" priority="196" dxfId="1" stopIfTrue="1">
      <formula>$J48="极高"</formula>
    </cfRule>
    <cfRule type="expression" priority="197" dxfId="2" stopIfTrue="1">
      <formula>$J48="高"</formula>
    </cfRule>
    <cfRule type="expression" priority="198" dxfId="3" stopIfTrue="1">
      <formula>$J48="中"</formula>
    </cfRule>
    <cfRule type="expression" priority="199" dxfId="4" stopIfTrue="1">
      <formula>$J48="低"</formula>
    </cfRule>
    <cfRule type="expression" priority="200" dxfId="5" stopIfTrue="1">
      <formula>$J48="极低"</formula>
    </cfRule>
  </conditionalFormatting>
  <conditionalFormatting sqref="J49">
    <cfRule type="expression" priority="201" dxfId="1" stopIfTrue="1">
      <formula>$J49="极高"</formula>
    </cfRule>
    <cfRule type="expression" priority="202" dxfId="2" stopIfTrue="1">
      <formula>$J49="高"</formula>
    </cfRule>
    <cfRule type="expression" priority="203" dxfId="3" stopIfTrue="1">
      <formula>$J49="中"</formula>
    </cfRule>
    <cfRule type="expression" priority="204" dxfId="4" stopIfTrue="1">
      <formula>$J49="低"</formula>
    </cfRule>
    <cfRule type="expression" priority="205" dxfId="5" stopIfTrue="1">
      <formula>$J49="极低"</formula>
    </cfRule>
  </conditionalFormatting>
  <conditionalFormatting sqref="J50">
    <cfRule type="expression" priority="206" dxfId="1" stopIfTrue="1">
      <formula>$J50="极高"</formula>
    </cfRule>
    <cfRule type="expression" priority="207" dxfId="2" stopIfTrue="1">
      <formula>$J50="高"</formula>
    </cfRule>
    <cfRule type="expression" priority="208" dxfId="3" stopIfTrue="1">
      <formula>$J50="中"</formula>
    </cfRule>
    <cfRule type="expression" priority="209" dxfId="4" stopIfTrue="1">
      <formula>$J50="低"</formula>
    </cfRule>
    <cfRule type="expression" priority="210" dxfId="5" stopIfTrue="1">
      <formula>$J50="极低"</formula>
    </cfRule>
  </conditionalFormatting>
  <conditionalFormatting sqref="J51">
    <cfRule type="expression" priority="211" dxfId="1" stopIfTrue="1">
      <formula>$J51="极高"</formula>
    </cfRule>
    <cfRule type="expression" priority="212" dxfId="2" stopIfTrue="1">
      <formula>$J51="高"</formula>
    </cfRule>
    <cfRule type="expression" priority="213" dxfId="3" stopIfTrue="1">
      <formula>$J51="中"</formula>
    </cfRule>
    <cfRule type="expression" priority="214" dxfId="4" stopIfTrue="1">
      <formula>$J51="低"</formula>
    </cfRule>
    <cfRule type="expression" priority="215" dxfId="5" stopIfTrue="1">
      <formula>$J51="极低"</formula>
    </cfRule>
  </conditionalFormatting>
  <conditionalFormatting sqref="J52">
    <cfRule type="expression" priority="216" dxfId="1" stopIfTrue="1">
      <formula>$J52="极高"</formula>
    </cfRule>
    <cfRule type="expression" priority="217" dxfId="2" stopIfTrue="1">
      <formula>$J52="高"</formula>
    </cfRule>
    <cfRule type="expression" priority="218" dxfId="3" stopIfTrue="1">
      <formula>$J52="中"</formula>
    </cfRule>
    <cfRule type="expression" priority="219" dxfId="4" stopIfTrue="1">
      <formula>$J52="低"</formula>
    </cfRule>
    <cfRule type="expression" priority="220" dxfId="5" stopIfTrue="1">
      <formula>$J52="极低"</formula>
    </cfRule>
  </conditionalFormatting>
  <conditionalFormatting sqref="J53">
    <cfRule type="expression" priority="221" dxfId="1" stopIfTrue="1">
      <formula>$J53="极高"</formula>
    </cfRule>
    <cfRule type="expression" priority="222" dxfId="2" stopIfTrue="1">
      <formula>$J53="高"</formula>
    </cfRule>
    <cfRule type="expression" priority="223" dxfId="3" stopIfTrue="1">
      <formula>$J53="中"</formula>
    </cfRule>
    <cfRule type="expression" priority="224" dxfId="4" stopIfTrue="1">
      <formula>$J53="低"</formula>
    </cfRule>
    <cfRule type="expression" priority="225" dxfId="5" stopIfTrue="1">
      <formula>$J53="极低"</formula>
    </cfRule>
  </conditionalFormatting>
  <conditionalFormatting sqref="J54">
    <cfRule type="expression" priority="226" dxfId="1" stopIfTrue="1">
      <formula>$J54="极高"</formula>
    </cfRule>
    <cfRule type="expression" priority="227" dxfId="2" stopIfTrue="1">
      <formula>$J54="高"</formula>
    </cfRule>
    <cfRule type="expression" priority="228" dxfId="3" stopIfTrue="1">
      <formula>$J54="中"</formula>
    </cfRule>
    <cfRule type="expression" priority="229" dxfId="4" stopIfTrue="1">
      <formula>$J54="低"</formula>
    </cfRule>
    <cfRule type="expression" priority="230" dxfId="5" stopIfTrue="1">
      <formula>$J54="极低"</formula>
    </cfRule>
  </conditionalFormatting>
  <conditionalFormatting sqref="J55">
    <cfRule type="expression" priority="231" dxfId="1" stopIfTrue="1">
      <formula>$J55="极高"</formula>
    </cfRule>
    <cfRule type="expression" priority="232" dxfId="2" stopIfTrue="1">
      <formula>$J55="高"</formula>
    </cfRule>
    <cfRule type="expression" priority="233" dxfId="3" stopIfTrue="1">
      <formula>$J55="中"</formula>
    </cfRule>
    <cfRule type="expression" priority="234" dxfId="4" stopIfTrue="1">
      <formula>$J55="低"</formula>
    </cfRule>
    <cfRule type="expression" priority="235" dxfId="5" stopIfTrue="1">
      <formula>$J55="极低"</formula>
    </cfRule>
  </conditionalFormatting>
  <conditionalFormatting sqref="J56">
    <cfRule type="expression" priority="236" dxfId="1" stopIfTrue="1">
      <formula>$J56="极高"</formula>
    </cfRule>
    <cfRule type="expression" priority="237" dxfId="2" stopIfTrue="1">
      <formula>$J56="高"</formula>
    </cfRule>
    <cfRule type="expression" priority="238" dxfId="3" stopIfTrue="1">
      <formula>$J56="中"</formula>
    </cfRule>
    <cfRule type="expression" priority="239" dxfId="4" stopIfTrue="1">
      <formula>$J56="低"</formula>
    </cfRule>
    <cfRule type="expression" priority="240" dxfId="5" stopIfTrue="1">
      <formula>$J56="极低"</formula>
    </cfRule>
  </conditionalFormatting>
  <conditionalFormatting sqref="J57">
    <cfRule type="expression" priority="241" dxfId="1" stopIfTrue="1">
      <formula>$J57="极高"</formula>
    </cfRule>
    <cfRule type="expression" priority="242" dxfId="2" stopIfTrue="1">
      <formula>$J57="高"</formula>
    </cfRule>
    <cfRule type="expression" priority="243" dxfId="3" stopIfTrue="1">
      <formula>$J57="中"</formula>
    </cfRule>
    <cfRule type="expression" priority="244" dxfId="4" stopIfTrue="1">
      <formula>$J57="低"</formula>
    </cfRule>
    <cfRule type="expression" priority="245" dxfId="5" stopIfTrue="1">
      <formula>$J57="极低"</formula>
    </cfRule>
  </conditionalFormatting>
  <conditionalFormatting sqref="J58">
    <cfRule type="expression" priority="246" dxfId="1" stopIfTrue="1">
      <formula>$J58="极高"</formula>
    </cfRule>
    <cfRule type="expression" priority="247" dxfId="2" stopIfTrue="1">
      <formula>$J58="高"</formula>
    </cfRule>
    <cfRule type="expression" priority="248" dxfId="3" stopIfTrue="1">
      <formula>$J58="中"</formula>
    </cfRule>
    <cfRule type="expression" priority="249" dxfId="4" stopIfTrue="1">
      <formula>$J58="低"</formula>
    </cfRule>
    <cfRule type="expression" priority="250" dxfId="5" stopIfTrue="1">
      <formula>$J58="极低"</formula>
    </cfRule>
  </conditionalFormatting>
  <conditionalFormatting sqref="J59">
    <cfRule type="expression" priority="251" dxfId="1" stopIfTrue="1">
      <formula>$J59="极高"</formula>
    </cfRule>
    <cfRule type="expression" priority="252" dxfId="2" stopIfTrue="1">
      <formula>$J59="高"</formula>
    </cfRule>
    <cfRule type="expression" priority="253" dxfId="3" stopIfTrue="1">
      <formula>$J59="中"</formula>
    </cfRule>
    <cfRule type="expression" priority="254" dxfId="4" stopIfTrue="1">
      <formula>$J59="低"</formula>
    </cfRule>
    <cfRule type="expression" priority="255" dxfId="5" stopIfTrue="1">
      <formula>$J59="极低"</formula>
    </cfRule>
  </conditionalFormatting>
  <conditionalFormatting sqref="J60">
    <cfRule type="expression" priority="256" dxfId="1" stopIfTrue="1">
      <formula>$J60="极高"</formula>
    </cfRule>
    <cfRule type="expression" priority="257" dxfId="2" stopIfTrue="1">
      <formula>$J60="高"</formula>
    </cfRule>
    <cfRule type="expression" priority="258" dxfId="3" stopIfTrue="1">
      <formula>$J60="中"</formula>
    </cfRule>
    <cfRule type="expression" priority="259" dxfId="4" stopIfTrue="1">
      <formula>$J60="低"</formula>
    </cfRule>
    <cfRule type="expression" priority="260" dxfId="5" stopIfTrue="1">
      <formula>$J60="极低"</formula>
    </cfRule>
  </conditionalFormatting>
  <conditionalFormatting sqref="J61">
    <cfRule type="expression" priority="261" dxfId="1" stopIfTrue="1">
      <formula>$J61="极高"</formula>
    </cfRule>
    <cfRule type="expression" priority="262" dxfId="2" stopIfTrue="1">
      <formula>$J61="高"</formula>
    </cfRule>
    <cfRule type="expression" priority="263" dxfId="3" stopIfTrue="1">
      <formula>$J61="中"</formula>
    </cfRule>
    <cfRule type="expression" priority="264" dxfId="4" stopIfTrue="1">
      <formula>$J61="低"</formula>
    </cfRule>
    <cfRule type="expression" priority="265" dxfId="5" stopIfTrue="1">
      <formula>$J61="极低"</formula>
    </cfRule>
  </conditionalFormatting>
  <conditionalFormatting sqref="J62">
    <cfRule type="expression" priority="266" dxfId="1" stopIfTrue="1">
      <formula>$J62="极高"</formula>
    </cfRule>
    <cfRule type="expression" priority="267" dxfId="2" stopIfTrue="1">
      <formula>$J62="高"</formula>
    </cfRule>
    <cfRule type="expression" priority="268" dxfId="3" stopIfTrue="1">
      <formula>$J62="中"</formula>
    </cfRule>
    <cfRule type="expression" priority="269" dxfId="4" stopIfTrue="1">
      <formula>$J62="低"</formula>
    </cfRule>
    <cfRule type="expression" priority="270" dxfId="5" stopIfTrue="1">
      <formula>$J62="极低"</formula>
    </cfRule>
  </conditionalFormatting>
  <conditionalFormatting sqref="J63">
    <cfRule type="expression" priority="271" dxfId="1" stopIfTrue="1">
      <formula>$J63="极高"</formula>
    </cfRule>
    <cfRule type="expression" priority="272" dxfId="2" stopIfTrue="1">
      <formula>$J63="高"</formula>
    </cfRule>
    <cfRule type="expression" priority="273" dxfId="3" stopIfTrue="1">
      <formula>$J63="中"</formula>
    </cfRule>
    <cfRule type="expression" priority="274" dxfId="4" stopIfTrue="1">
      <formula>$J63="低"</formula>
    </cfRule>
    <cfRule type="expression" priority="275" dxfId="5" stopIfTrue="1">
      <formula>$J63="极低"</formula>
    </cfRule>
  </conditionalFormatting>
  <conditionalFormatting sqref="J64">
    <cfRule type="expression" priority="276" dxfId="1" stopIfTrue="1">
      <formula>$J64="极高"</formula>
    </cfRule>
    <cfRule type="expression" priority="277" dxfId="2" stopIfTrue="1">
      <formula>$J64="高"</formula>
    </cfRule>
    <cfRule type="expression" priority="278" dxfId="3" stopIfTrue="1">
      <formula>$J64="中"</formula>
    </cfRule>
    <cfRule type="expression" priority="279" dxfId="4" stopIfTrue="1">
      <formula>$J64="低"</formula>
    </cfRule>
    <cfRule type="expression" priority="280" dxfId="5" stopIfTrue="1">
      <formula>$J64="极低"</formula>
    </cfRule>
  </conditionalFormatting>
  <conditionalFormatting sqref="J65">
    <cfRule type="expression" priority="281" dxfId="1" stopIfTrue="1">
      <formula>$J65="极高"</formula>
    </cfRule>
    <cfRule type="expression" priority="282" dxfId="2" stopIfTrue="1">
      <formula>$J65="高"</formula>
    </cfRule>
    <cfRule type="expression" priority="283" dxfId="3" stopIfTrue="1">
      <formula>$J65="中"</formula>
    </cfRule>
    <cfRule type="expression" priority="284" dxfId="4" stopIfTrue="1">
      <formula>$J65="低"</formula>
    </cfRule>
    <cfRule type="expression" priority="285" dxfId="5" stopIfTrue="1">
      <formula>$J65="极低"</formula>
    </cfRule>
  </conditionalFormatting>
  <conditionalFormatting sqref="J66">
    <cfRule type="expression" priority="286" dxfId="1" stopIfTrue="1">
      <formula>$J66="极高"</formula>
    </cfRule>
    <cfRule type="expression" priority="287" dxfId="2" stopIfTrue="1">
      <formula>$J66="高"</formula>
    </cfRule>
    <cfRule type="expression" priority="288" dxfId="3" stopIfTrue="1">
      <formula>$J66="中"</formula>
    </cfRule>
    <cfRule type="expression" priority="289" dxfId="4" stopIfTrue="1">
      <formula>$J66="低"</formula>
    </cfRule>
    <cfRule type="expression" priority="290" dxfId="5" stopIfTrue="1">
      <formula>$J66="极低"</formula>
    </cfRule>
  </conditionalFormatting>
  <conditionalFormatting sqref="J67">
    <cfRule type="expression" priority="291" dxfId="1" stopIfTrue="1">
      <formula>$J67="极高"</formula>
    </cfRule>
    <cfRule type="expression" priority="292" dxfId="2" stopIfTrue="1">
      <formula>$J67="高"</formula>
    </cfRule>
    <cfRule type="expression" priority="293" dxfId="3" stopIfTrue="1">
      <formula>$J67="中"</formula>
    </cfRule>
    <cfRule type="expression" priority="294" dxfId="4" stopIfTrue="1">
      <formula>$J67="低"</formula>
    </cfRule>
    <cfRule type="expression" priority="295" dxfId="5" stopIfTrue="1">
      <formula>$J67="极低"</formula>
    </cfRule>
  </conditionalFormatting>
  <conditionalFormatting sqref="J68">
    <cfRule type="expression" priority="296" dxfId="1" stopIfTrue="1">
      <formula>$J68="极高"</formula>
    </cfRule>
    <cfRule type="expression" priority="297" dxfId="2" stopIfTrue="1">
      <formula>$J68="高"</formula>
    </cfRule>
    <cfRule type="expression" priority="298" dxfId="3" stopIfTrue="1">
      <formula>$J68="中"</formula>
    </cfRule>
    <cfRule type="expression" priority="299" dxfId="4" stopIfTrue="1">
      <formula>$J68="低"</formula>
    </cfRule>
    <cfRule type="expression" priority="300" dxfId="5" stopIfTrue="1">
      <formula>$J68="极低"</formula>
    </cfRule>
  </conditionalFormatting>
  <conditionalFormatting sqref="J69">
    <cfRule type="expression" priority="301" dxfId="1" stopIfTrue="1">
      <formula>$J69="极高"</formula>
    </cfRule>
    <cfRule type="expression" priority="302" dxfId="2" stopIfTrue="1">
      <formula>$J69="高"</formula>
    </cfRule>
    <cfRule type="expression" priority="303" dxfId="3" stopIfTrue="1">
      <formula>$J69="中"</formula>
    </cfRule>
    <cfRule type="expression" priority="304" dxfId="4" stopIfTrue="1">
      <formula>$J69="低"</formula>
    </cfRule>
    <cfRule type="expression" priority="305" dxfId="5" stopIfTrue="1">
      <formula>$J69="极低"</formula>
    </cfRule>
  </conditionalFormatting>
  <conditionalFormatting sqref="J70">
    <cfRule type="expression" priority="306" dxfId="1" stopIfTrue="1">
      <formula>$J70="极高"</formula>
    </cfRule>
    <cfRule type="expression" priority="307" dxfId="2" stopIfTrue="1">
      <formula>$J70="高"</formula>
    </cfRule>
    <cfRule type="expression" priority="308" dxfId="3" stopIfTrue="1">
      <formula>$J70="中"</formula>
    </cfRule>
    <cfRule type="expression" priority="309" dxfId="4" stopIfTrue="1">
      <formula>$J70="低"</formula>
    </cfRule>
    <cfRule type="expression" priority="310" dxfId="5" stopIfTrue="1">
      <formula>$J70="极低"</formula>
    </cfRule>
  </conditionalFormatting>
  <conditionalFormatting sqref="J71">
    <cfRule type="expression" priority="311" dxfId="1" stopIfTrue="1">
      <formula>$J71="极高"</formula>
    </cfRule>
    <cfRule type="expression" priority="312" dxfId="2" stopIfTrue="1">
      <formula>$J71="高"</formula>
    </cfRule>
    <cfRule type="expression" priority="313" dxfId="3" stopIfTrue="1">
      <formula>$J71="中"</formula>
    </cfRule>
    <cfRule type="expression" priority="314" dxfId="4" stopIfTrue="1">
      <formula>$J71="低"</formula>
    </cfRule>
    <cfRule type="expression" priority="315" dxfId="5" stopIfTrue="1">
      <formula>$J71="极低"</formula>
    </cfRule>
  </conditionalFormatting>
  <conditionalFormatting sqref="J72">
    <cfRule type="expression" priority="316" dxfId="1" stopIfTrue="1">
      <formula>$J72="极高"</formula>
    </cfRule>
    <cfRule type="expression" priority="317" dxfId="2" stopIfTrue="1">
      <formula>$J72="高"</formula>
    </cfRule>
    <cfRule type="expression" priority="318" dxfId="3" stopIfTrue="1">
      <formula>$J72="中"</formula>
    </cfRule>
    <cfRule type="expression" priority="319" dxfId="4" stopIfTrue="1">
      <formula>$J72="低"</formula>
    </cfRule>
    <cfRule type="expression" priority="320" dxfId="5" stopIfTrue="1">
      <formula>$J72="极低"</formula>
    </cfRule>
  </conditionalFormatting>
  <conditionalFormatting sqref="J73">
    <cfRule type="expression" priority="321" dxfId="1" stopIfTrue="1">
      <formula>$J73="极高"</formula>
    </cfRule>
    <cfRule type="expression" priority="322" dxfId="2" stopIfTrue="1">
      <formula>$J73="高"</formula>
    </cfRule>
    <cfRule type="expression" priority="323" dxfId="3" stopIfTrue="1">
      <formula>$J73="中"</formula>
    </cfRule>
    <cfRule type="expression" priority="324" dxfId="4" stopIfTrue="1">
      <formula>$J73="低"</formula>
    </cfRule>
    <cfRule type="expression" priority="325" dxfId="5" stopIfTrue="1">
      <formula>$J73="极低"</formula>
    </cfRule>
  </conditionalFormatting>
  <conditionalFormatting sqref="J74">
    <cfRule type="expression" priority="326" dxfId="1" stopIfTrue="1">
      <formula>$J74="极高"</formula>
    </cfRule>
    <cfRule type="expression" priority="327" dxfId="2" stopIfTrue="1">
      <formula>$J74="高"</formula>
    </cfRule>
    <cfRule type="expression" priority="328" dxfId="3" stopIfTrue="1">
      <formula>$J74="中"</formula>
    </cfRule>
    <cfRule type="expression" priority="329" dxfId="4" stopIfTrue="1">
      <formula>$J74="低"</formula>
    </cfRule>
    <cfRule type="expression" priority="330" dxfId="5" stopIfTrue="1">
      <formula>$J74="极低"</formula>
    </cfRule>
  </conditionalFormatting>
  <conditionalFormatting sqref="J75">
    <cfRule type="expression" priority="331" dxfId="1" stopIfTrue="1">
      <formula>$J75="极高"</formula>
    </cfRule>
    <cfRule type="expression" priority="332" dxfId="2" stopIfTrue="1">
      <formula>$J75="高"</formula>
    </cfRule>
    <cfRule type="expression" priority="333" dxfId="3" stopIfTrue="1">
      <formula>$J75="中"</formula>
    </cfRule>
    <cfRule type="expression" priority="334" dxfId="4" stopIfTrue="1">
      <formula>$J75="低"</formula>
    </cfRule>
    <cfRule type="expression" priority="335" dxfId="5" stopIfTrue="1">
      <formula>$J75="极低"</formula>
    </cfRule>
  </conditionalFormatting>
  <conditionalFormatting sqref="J76">
    <cfRule type="expression" priority="336" dxfId="1" stopIfTrue="1">
      <formula>$J76="极高"</formula>
    </cfRule>
    <cfRule type="expression" priority="337" dxfId="2" stopIfTrue="1">
      <formula>$J76="高"</formula>
    </cfRule>
    <cfRule type="expression" priority="338" dxfId="3" stopIfTrue="1">
      <formula>$J76="中"</formula>
    </cfRule>
    <cfRule type="expression" priority="339" dxfId="4" stopIfTrue="1">
      <formula>$J76="低"</formula>
    </cfRule>
    <cfRule type="expression" priority="340" dxfId="5" stopIfTrue="1">
      <formula>$J76="极低"</formula>
    </cfRule>
  </conditionalFormatting>
  <conditionalFormatting sqref="J77">
    <cfRule type="expression" priority="341" dxfId="1" stopIfTrue="1">
      <formula>$J77="极高"</formula>
    </cfRule>
    <cfRule type="expression" priority="342" dxfId="2" stopIfTrue="1">
      <formula>$J77="高"</formula>
    </cfRule>
    <cfRule type="expression" priority="343" dxfId="3" stopIfTrue="1">
      <formula>$J77="中"</formula>
    </cfRule>
    <cfRule type="expression" priority="344" dxfId="4" stopIfTrue="1">
      <formula>$J77="低"</formula>
    </cfRule>
    <cfRule type="expression" priority="345" dxfId="5" stopIfTrue="1">
      <formula>$J77="极低"</formula>
    </cfRule>
  </conditionalFormatting>
  <conditionalFormatting sqref="J78">
    <cfRule type="expression" priority="346" dxfId="1" stopIfTrue="1">
      <formula>$J78="极高"</formula>
    </cfRule>
    <cfRule type="expression" priority="347" dxfId="2" stopIfTrue="1">
      <formula>$J78="高"</formula>
    </cfRule>
    <cfRule type="expression" priority="348" dxfId="3" stopIfTrue="1">
      <formula>$J78="中"</formula>
    </cfRule>
    <cfRule type="expression" priority="349" dxfId="4" stopIfTrue="1">
      <formula>$J78="低"</formula>
    </cfRule>
    <cfRule type="expression" priority="350" dxfId="5" stopIfTrue="1">
      <formula>$J78="极低"</formula>
    </cfRule>
  </conditionalFormatting>
  <conditionalFormatting sqref="J79">
    <cfRule type="expression" priority="351" dxfId="1" stopIfTrue="1">
      <formula>$J79="极高"</formula>
    </cfRule>
    <cfRule type="expression" priority="352" dxfId="2" stopIfTrue="1">
      <formula>$J79="高"</formula>
    </cfRule>
    <cfRule type="expression" priority="353" dxfId="3" stopIfTrue="1">
      <formula>$J79="中"</formula>
    </cfRule>
    <cfRule type="expression" priority="354" dxfId="4" stopIfTrue="1">
      <formula>$J79="低"</formula>
    </cfRule>
    <cfRule type="expression" priority="355" dxfId="5" stopIfTrue="1">
      <formula>$J79="极低"</formula>
    </cfRule>
  </conditionalFormatting>
  <conditionalFormatting sqref="J80">
    <cfRule type="expression" priority="356" dxfId="1" stopIfTrue="1">
      <formula>$J80="极高"</formula>
    </cfRule>
    <cfRule type="expression" priority="357" dxfId="2" stopIfTrue="1">
      <formula>$J80="高"</formula>
    </cfRule>
    <cfRule type="expression" priority="358" dxfId="3" stopIfTrue="1">
      <formula>$J80="中"</formula>
    </cfRule>
    <cfRule type="expression" priority="359" dxfId="4" stopIfTrue="1">
      <formula>$J80="低"</formula>
    </cfRule>
    <cfRule type="expression" priority="360" dxfId="5" stopIfTrue="1">
      <formula>$J80="极低"</formula>
    </cfRule>
  </conditionalFormatting>
  <conditionalFormatting sqref="J81">
    <cfRule type="expression" priority="361" dxfId="1" stopIfTrue="1">
      <formula>$J81="极高"</formula>
    </cfRule>
    <cfRule type="expression" priority="362" dxfId="2" stopIfTrue="1">
      <formula>$J81="高"</formula>
    </cfRule>
    <cfRule type="expression" priority="363" dxfId="3" stopIfTrue="1">
      <formula>$J81="中"</formula>
    </cfRule>
    <cfRule type="expression" priority="364" dxfId="4" stopIfTrue="1">
      <formula>$J81="低"</formula>
    </cfRule>
    <cfRule type="expression" priority="365" dxfId="5" stopIfTrue="1">
      <formula>$J81="极低"</formula>
    </cfRule>
  </conditionalFormatting>
  <conditionalFormatting sqref="J82">
    <cfRule type="expression" priority="366" dxfId="1" stopIfTrue="1">
      <formula>$J82="极高"</formula>
    </cfRule>
    <cfRule type="expression" priority="367" dxfId="2" stopIfTrue="1">
      <formula>$J82="高"</formula>
    </cfRule>
    <cfRule type="expression" priority="368" dxfId="3" stopIfTrue="1">
      <formula>$J82="中"</formula>
    </cfRule>
    <cfRule type="expression" priority="369" dxfId="4" stopIfTrue="1">
      <formula>$J82="低"</formula>
    </cfRule>
    <cfRule type="expression" priority="370" dxfId="5" stopIfTrue="1">
      <formula>$J82="极低"</formula>
    </cfRule>
  </conditionalFormatting>
  <conditionalFormatting sqref="J83">
    <cfRule type="expression" priority="371" dxfId="1" stopIfTrue="1">
      <formula>$J83="极高"</formula>
    </cfRule>
    <cfRule type="expression" priority="372" dxfId="2" stopIfTrue="1">
      <formula>$J83="高"</formula>
    </cfRule>
    <cfRule type="expression" priority="373" dxfId="3" stopIfTrue="1">
      <formula>$J83="中"</formula>
    </cfRule>
    <cfRule type="expression" priority="374" dxfId="4" stopIfTrue="1">
      <formula>$J83="低"</formula>
    </cfRule>
    <cfRule type="expression" priority="375" dxfId="5" stopIfTrue="1">
      <formula>$J83="极低"</formula>
    </cfRule>
  </conditionalFormatting>
  <conditionalFormatting sqref="J84">
    <cfRule type="expression" priority="376" dxfId="1" stopIfTrue="1">
      <formula>$J84="极高"</formula>
    </cfRule>
    <cfRule type="expression" priority="377" dxfId="2" stopIfTrue="1">
      <formula>$J84="高"</formula>
    </cfRule>
    <cfRule type="expression" priority="378" dxfId="3" stopIfTrue="1">
      <formula>$J84="中"</formula>
    </cfRule>
    <cfRule type="expression" priority="379" dxfId="4" stopIfTrue="1">
      <formula>$J84="低"</formula>
    </cfRule>
    <cfRule type="expression" priority="380" dxfId="5" stopIfTrue="1">
      <formula>$J84="极低"</formula>
    </cfRule>
  </conditionalFormatting>
  <conditionalFormatting sqref="J85">
    <cfRule type="expression" priority="381" dxfId="1" stopIfTrue="1">
      <formula>$J85="极高"</formula>
    </cfRule>
    <cfRule type="expression" priority="382" dxfId="2" stopIfTrue="1">
      <formula>$J85="高"</formula>
    </cfRule>
    <cfRule type="expression" priority="383" dxfId="3" stopIfTrue="1">
      <formula>$J85="中"</formula>
    </cfRule>
    <cfRule type="expression" priority="384" dxfId="4" stopIfTrue="1">
      <formula>$J85="低"</formula>
    </cfRule>
    <cfRule type="expression" priority="385" dxfId="5" stopIfTrue="1">
      <formula>$J85="极低"</formula>
    </cfRule>
  </conditionalFormatting>
  <conditionalFormatting sqref="J86">
    <cfRule type="expression" priority="386" dxfId="1" stopIfTrue="1">
      <formula>$J86="极高"</formula>
    </cfRule>
    <cfRule type="expression" priority="387" dxfId="2" stopIfTrue="1">
      <formula>$J86="高"</formula>
    </cfRule>
    <cfRule type="expression" priority="388" dxfId="3" stopIfTrue="1">
      <formula>$J86="中"</formula>
    </cfRule>
    <cfRule type="expression" priority="389" dxfId="4" stopIfTrue="1">
      <formula>$J86="低"</formula>
    </cfRule>
    <cfRule type="expression" priority="390" dxfId="5" stopIfTrue="1">
      <formula>$J86="极低"</formula>
    </cfRule>
  </conditionalFormatting>
  <conditionalFormatting sqref="J87">
    <cfRule type="expression" priority="391" dxfId="1" stopIfTrue="1">
      <formula>$J87="极高"</formula>
    </cfRule>
    <cfRule type="expression" priority="392" dxfId="2" stopIfTrue="1">
      <formula>$J87="高"</formula>
    </cfRule>
    <cfRule type="expression" priority="393" dxfId="3" stopIfTrue="1">
      <formula>$J87="中"</formula>
    </cfRule>
    <cfRule type="expression" priority="394" dxfId="4" stopIfTrue="1">
      <formula>$J87="低"</formula>
    </cfRule>
    <cfRule type="expression" priority="395" dxfId="5" stopIfTrue="1">
      <formula>$J87="极低"</formula>
    </cfRule>
  </conditionalFormatting>
  <conditionalFormatting sqref="J88">
    <cfRule type="expression" priority="396" dxfId="1" stopIfTrue="1">
      <formula>$J88="极高"</formula>
    </cfRule>
    <cfRule type="expression" priority="397" dxfId="2" stopIfTrue="1">
      <formula>$J88="高"</formula>
    </cfRule>
    <cfRule type="expression" priority="398" dxfId="3" stopIfTrue="1">
      <formula>$J88="中"</formula>
    </cfRule>
    <cfRule type="expression" priority="399" dxfId="4" stopIfTrue="1">
      <formula>$J88="低"</formula>
    </cfRule>
    <cfRule type="expression" priority="400" dxfId="5" stopIfTrue="1">
      <formula>$J88="极低"</formula>
    </cfRule>
  </conditionalFormatting>
  <conditionalFormatting sqref="J89">
    <cfRule type="expression" priority="401" dxfId="1" stopIfTrue="1">
      <formula>$J89="极高"</formula>
    </cfRule>
    <cfRule type="expression" priority="402" dxfId="2" stopIfTrue="1">
      <formula>$J89="高"</formula>
    </cfRule>
    <cfRule type="expression" priority="403" dxfId="3" stopIfTrue="1">
      <formula>$J89="中"</formula>
    </cfRule>
    <cfRule type="expression" priority="404" dxfId="4" stopIfTrue="1">
      <formula>$J89="低"</formula>
    </cfRule>
    <cfRule type="expression" priority="405" dxfId="5" stopIfTrue="1">
      <formula>$J89="极低"</formula>
    </cfRule>
  </conditionalFormatting>
  <conditionalFormatting sqref="J90">
    <cfRule type="expression" priority="406" dxfId="1" stopIfTrue="1">
      <formula>$J90="极高"</formula>
    </cfRule>
    <cfRule type="expression" priority="407" dxfId="2" stopIfTrue="1">
      <formula>$J90="高"</formula>
    </cfRule>
    <cfRule type="expression" priority="408" dxfId="3" stopIfTrue="1">
      <formula>$J90="中"</formula>
    </cfRule>
    <cfRule type="expression" priority="409" dxfId="4" stopIfTrue="1">
      <formula>$J90="低"</formula>
    </cfRule>
    <cfRule type="expression" priority="410" dxfId="5" stopIfTrue="1">
      <formula>$J90="极低"</formula>
    </cfRule>
  </conditionalFormatting>
  <conditionalFormatting sqref="J91">
    <cfRule type="expression" priority="411" dxfId="1" stopIfTrue="1">
      <formula>$J91="极高"</formula>
    </cfRule>
    <cfRule type="expression" priority="412" dxfId="2" stopIfTrue="1">
      <formula>$J91="高"</formula>
    </cfRule>
    <cfRule type="expression" priority="413" dxfId="3" stopIfTrue="1">
      <formula>$J91="中"</formula>
    </cfRule>
    <cfRule type="expression" priority="414" dxfId="4" stopIfTrue="1">
      <formula>$J91="低"</formula>
    </cfRule>
    <cfRule type="expression" priority="415" dxfId="5" stopIfTrue="1">
      <formula>$J91="极低"</formula>
    </cfRule>
  </conditionalFormatting>
  <conditionalFormatting sqref="J92">
    <cfRule type="expression" priority="416" dxfId="1" stopIfTrue="1">
      <formula>$J92="极高"</formula>
    </cfRule>
    <cfRule type="expression" priority="417" dxfId="2" stopIfTrue="1">
      <formula>$J92="高"</formula>
    </cfRule>
    <cfRule type="expression" priority="418" dxfId="3" stopIfTrue="1">
      <formula>$J92="中"</formula>
    </cfRule>
    <cfRule type="expression" priority="419" dxfId="4" stopIfTrue="1">
      <formula>$J92="低"</formula>
    </cfRule>
    <cfRule type="expression" priority="420" dxfId="5" stopIfTrue="1">
      <formula>$J92="极低"</formula>
    </cfRule>
  </conditionalFormatting>
  <conditionalFormatting sqref="J93">
    <cfRule type="expression" priority="421" dxfId="1" stopIfTrue="1">
      <formula>$J93="极高"</formula>
    </cfRule>
    <cfRule type="expression" priority="422" dxfId="2" stopIfTrue="1">
      <formula>$J93="高"</formula>
    </cfRule>
    <cfRule type="expression" priority="423" dxfId="3" stopIfTrue="1">
      <formula>$J93="中"</formula>
    </cfRule>
    <cfRule type="expression" priority="424" dxfId="4" stopIfTrue="1">
      <formula>$J93="低"</formula>
    </cfRule>
    <cfRule type="expression" priority="425" dxfId="5" stopIfTrue="1">
      <formula>$J93="极低"</formula>
    </cfRule>
  </conditionalFormatting>
  <conditionalFormatting sqref="J94">
    <cfRule type="expression" priority="426" dxfId="1" stopIfTrue="1">
      <formula>$J94="极高"</formula>
    </cfRule>
    <cfRule type="expression" priority="427" dxfId="2" stopIfTrue="1">
      <formula>$J94="高"</formula>
    </cfRule>
    <cfRule type="expression" priority="428" dxfId="3" stopIfTrue="1">
      <formula>$J94="中"</formula>
    </cfRule>
    <cfRule type="expression" priority="429" dxfId="4" stopIfTrue="1">
      <formula>$J94="低"</formula>
    </cfRule>
    <cfRule type="expression" priority="430" dxfId="5" stopIfTrue="1">
      <formula>$J94="极低"</formula>
    </cfRule>
  </conditionalFormatting>
  <conditionalFormatting sqref="J95">
    <cfRule type="expression" priority="431" dxfId="1" stopIfTrue="1">
      <formula>$J95="极高"</formula>
    </cfRule>
    <cfRule type="expression" priority="432" dxfId="2" stopIfTrue="1">
      <formula>$J95="高"</formula>
    </cfRule>
    <cfRule type="expression" priority="433" dxfId="3" stopIfTrue="1">
      <formula>$J95="中"</formula>
    </cfRule>
    <cfRule type="expression" priority="434" dxfId="4" stopIfTrue="1">
      <formula>$J95="低"</formula>
    </cfRule>
    <cfRule type="expression" priority="435" dxfId="5" stopIfTrue="1">
      <formula>$J95="极低"</formula>
    </cfRule>
  </conditionalFormatting>
  <conditionalFormatting sqref="J96">
    <cfRule type="expression" priority="436" dxfId="1" stopIfTrue="1">
      <formula>$J96="极高"</formula>
    </cfRule>
    <cfRule type="expression" priority="437" dxfId="2" stopIfTrue="1">
      <formula>$J96="高"</formula>
    </cfRule>
    <cfRule type="expression" priority="438" dxfId="3" stopIfTrue="1">
      <formula>$J96="中"</formula>
    </cfRule>
    <cfRule type="expression" priority="439" dxfId="4" stopIfTrue="1">
      <formula>$J96="低"</formula>
    </cfRule>
    <cfRule type="expression" priority="440" dxfId="5" stopIfTrue="1">
      <formula>$J96="极低"</formula>
    </cfRule>
  </conditionalFormatting>
  <conditionalFormatting sqref="J97">
    <cfRule type="expression" priority="441" dxfId="1" stopIfTrue="1">
      <formula>$J97="极高"</formula>
    </cfRule>
    <cfRule type="expression" priority="442" dxfId="2" stopIfTrue="1">
      <formula>$J97="高"</formula>
    </cfRule>
    <cfRule type="expression" priority="443" dxfId="3" stopIfTrue="1">
      <formula>$J97="中"</formula>
    </cfRule>
    <cfRule type="expression" priority="444" dxfId="4" stopIfTrue="1">
      <formula>$J97="低"</formula>
    </cfRule>
    <cfRule type="expression" priority="445" dxfId="5" stopIfTrue="1">
      <formula>$J97="极低"</formula>
    </cfRule>
  </conditionalFormatting>
  <conditionalFormatting sqref="J98">
    <cfRule type="expression" priority="446" dxfId="1" stopIfTrue="1">
      <formula>$J98="极高"</formula>
    </cfRule>
    <cfRule type="expression" priority="447" dxfId="2" stopIfTrue="1">
      <formula>$J98="高"</formula>
    </cfRule>
    <cfRule type="expression" priority="448" dxfId="3" stopIfTrue="1">
      <formula>$J98="中"</formula>
    </cfRule>
    <cfRule type="expression" priority="449" dxfId="4" stopIfTrue="1">
      <formula>$J98="低"</formula>
    </cfRule>
    <cfRule type="expression" priority="450" dxfId="5" stopIfTrue="1">
      <formula>$J98="极低"</formula>
    </cfRule>
  </conditionalFormatting>
  <conditionalFormatting sqref="J99">
    <cfRule type="expression" priority="451" dxfId="1" stopIfTrue="1">
      <formula>$J99="极高"</formula>
    </cfRule>
    <cfRule type="expression" priority="452" dxfId="2" stopIfTrue="1">
      <formula>$J99="高"</formula>
    </cfRule>
    <cfRule type="expression" priority="453" dxfId="3" stopIfTrue="1">
      <formula>$J99="中"</formula>
    </cfRule>
    <cfRule type="expression" priority="454" dxfId="4" stopIfTrue="1">
      <formula>$J99="低"</formula>
    </cfRule>
    <cfRule type="expression" priority="455" dxfId="5" stopIfTrue="1">
      <formula>$J99="极低"</formula>
    </cfRule>
  </conditionalFormatting>
  <conditionalFormatting sqref="J100">
    <cfRule type="expression" priority="456" dxfId="1" stopIfTrue="1">
      <formula>$J100="极高"</formula>
    </cfRule>
    <cfRule type="expression" priority="457" dxfId="2" stopIfTrue="1">
      <formula>$J100="高"</formula>
    </cfRule>
    <cfRule type="expression" priority="458" dxfId="3" stopIfTrue="1">
      <formula>$J100="中"</formula>
    </cfRule>
    <cfRule type="expression" priority="459" dxfId="4" stopIfTrue="1">
      <formula>$J100="低"</formula>
    </cfRule>
    <cfRule type="expression" priority="460" dxfId="5" stopIfTrue="1">
      <formula>$J100="极低"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2026-08-25T06:09:03Z</dcterms:created>
  <dcterms:modified xmlns:dcterms="http://purl.org/dc/terms/" xmlns:xsi="http://www.w3.org/2001/XMLSchema-instance" xsi:type="dcterms:W3CDTF">2026-08-25T06:09:03Z</dcterms:modified>
</cp:coreProperties>
</file>