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评分锚点" sheetId="2" state="visible" r:id="rId2"/>
    <sheet xmlns:r="http://schemas.openxmlformats.org/officeDocument/2006/relationships" name="参数配置" sheetId="3" state="visible" r:id="rId3"/>
    <sheet xmlns:r="http://schemas.openxmlformats.org/officeDocument/2006/relationships" name="风险登记册" sheetId="4" state="visible" r:id="rId4"/>
    <sheet xmlns:r="http://schemas.openxmlformats.org/officeDocument/2006/relationships" name="控制措施表" sheetId="5" state="visible" r:id="rId5"/>
    <sheet xmlns:r="http://schemas.openxmlformats.org/officeDocument/2006/relationships" name="热力图" sheetId="6" state="visible" r:id="rId6"/>
    <sheet xmlns:r="http://schemas.openxmlformats.org/officeDocument/2006/relationships" name="汇总与优先级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1"/>
    </font>
    <font>
      <color rgb="00808080"/>
      <sz val="9"/>
    </font>
    <font>
      <b val="1"/>
      <color rgb="00FFFFFF"/>
      <sz val="10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FFC00000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8EAADB"/>
      </patternFill>
    </fill>
    <fill>
      <patternFill patternType="solid">
        <fgColor rgb="FF70AD4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center" vertical="center" wrapText="1"/>
    </xf>
    <xf numFmtId="9" fontId="0" fillId="2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9" fontId="0" fillId="0" borderId="0" pivotButton="0" quotePrefix="0" xfId="0"/>
    <xf numFmtId="0" fontId="0" fillId="2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2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2" fontId="0" fillId="9" borderId="1" applyAlignment="1" pivotButton="0" quotePrefix="0" xfId="0">
      <alignment horizontal="center" vertical="center" wrapText="1"/>
    </xf>
    <xf numFmtId="9" fontId="0" fillId="9" borderId="1" applyAlignment="1" pivotButton="0" quotePrefix="0" xfId="0">
      <alignment horizontal="center" vertical="center" wrapText="1"/>
    </xf>
    <xf numFmtId="0" fontId="6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0" fillId="7" borderId="1" applyAlignment="1" pivotButton="0" quotePrefix="0" xfId="0">
      <alignment horizontal="center" vertical="center" wrapText="1"/>
    </xf>
    <xf numFmtId="1" fontId="0" fillId="6" borderId="1" applyAlignment="1" pivotButton="0" quotePrefix="0" xfId="0">
      <alignment horizontal="center" vertical="center" wrapText="1"/>
    </xf>
    <xf numFmtId="1" fontId="0" fillId="5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1" fontId="0" fillId="8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0" fontId="6" fillId="0" borderId="0" pivotButton="0" quotePrefix="0" xfId="0"/>
  </cellXfs>
  <cellStyles count="1">
    <cellStyle name="Normal" xfId="0" builtinId="0" hidden="0"/>
  </cellStyles>
  <dxfs count="11">
    <dxf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FFC00000"/>
        </patternFill>
      </fill>
    </dxf>
    <dxf>
      <font>
        <b val="1"/>
        <color rgb="00FFFFFF"/>
      </font>
      <fill>
        <patternFill patternType="solid">
          <fgColor rgb="FFED7D31"/>
        </patternFill>
      </fill>
    </dxf>
    <dxf>
      <font>
        <b val="1"/>
        <color rgb="00FFFFFF"/>
      </font>
      <fill>
        <patternFill patternType="solid">
          <fgColor rgb="FFFFC000"/>
        </patternFill>
      </fill>
    </dxf>
    <dxf>
      <font>
        <b val="1"/>
        <color rgb="00FFFFFF"/>
      </font>
      <fill>
        <patternFill patternType="solid">
          <fgColor rgb="FF8EAADB"/>
        </patternFill>
      </fill>
    </dxf>
    <dxf>
      <font>
        <b val="1"/>
        <color rgb="00FFFFFF"/>
      </font>
      <fill>
        <patternFill patternType="solid">
          <fgColor rgb="FF70AD47"/>
        </patternFill>
      </fill>
    </dxf>
    <dxf>
      <fill>
        <patternFill patternType="solid">
          <fgColor rgb="FFC00000"/>
        </patternFill>
      </fill>
    </dxf>
    <dxf>
      <fill>
        <patternFill patternType="solid">
          <fgColor rgb="FFED7D31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8EAADB"/>
        </patternFill>
      </fill>
    </dxf>
    <dxf>
      <fill>
        <patternFill patternType="solid">
          <fgColor rgb="FF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审计风险评估热力图谱 · 使用说明</t>
        </is>
      </c>
    </row>
    <row r="2">
      <c r="A2" t="inlineStr"/>
    </row>
    <row r="3">
      <c r="A3" t="inlineStr">
        <is>
          <t>【模型】综合影响 = MAX(八维加权分, 一票否决系数×最高维度分)：任一维度打 4/5 分时，致命后果不被其他低分维度稀释。</t>
        </is>
      </c>
    </row>
    <row r="4">
      <c r="A4" t="inlineStr">
        <is>
          <t xml:space="preserve">　　风险领域 12 个、4 大类（战略与治理/财务/运营/合规与安全），对齐《企业内部控制应用指引》与《中央企业全面风险管理指引》。</t>
        </is>
      </c>
    </row>
    <row r="5">
      <c r="A5" t="inlineStr">
        <is>
          <t xml:space="preserve">　　八维权重按“所属领域”自动取用分领域权重矩阵（参数配置页 A24 起），未列出的领域用“全领域默认”行。</t>
        </is>
      </c>
    </row>
    <row r="6">
      <c r="A6" t="inlineStr">
        <is>
          <t xml:space="preserve">　　固有风险 = 可能性(1-5) × 综合影响；剩余风险 = 固有 × (1−折减系数)。</t>
        </is>
      </c>
    </row>
    <row r="7">
      <c r="A7" t="inlineStr">
        <is>
          <t xml:space="preserve">　　折减系数由该风险“关键控制点”的最低分查映射表确定（短板效应）；未标记关键控制时退回全部控制点取最低；无控制点则不折减。</t>
        </is>
      </c>
    </row>
    <row r="8">
      <c r="A8" t="inlineStr">
        <is>
          <t xml:space="preserve">　　控制挽回率 = (固有−剩余)/固有，衡量控制环境化解风险的比例，见登记册 Y 列与汇总页领域表。</t>
        </is>
      </c>
    </row>
    <row r="9">
      <c r="A9" t="inlineStr">
        <is>
          <t xml:space="preserve">　　打分原则：各维度只评估其专属后果（如经济损失维度不重复计入舞弊造成的损失），避免维度间重复计分。</t>
        </is>
      </c>
    </row>
    <row r="10">
      <c r="A10" t="inlineStr">
        <is>
          <t xml:space="preserve">　　等级五档：极高≥20 / 高≥12 / 中≥6 / 低≥3 / 极低&lt;3（可在参数配置页调整）。</t>
        </is>
      </c>
    </row>
    <row r="11">
      <c r="A11" t="inlineStr">
        <is>
          <t xml:space="preserve">　　打分锚点见「评分锚点」工作表：国资委资产损失分级、493 号令事故等级、个保法/GDPR 罚则、ACFE 基准等权威对照。</t>
        </is>
      </c>
    </row>
    <row r="12">
      <c r="A12" t="inlineStr"/>
    </row>
    <row r="13">
      <c r="A13" t="inlineStr">
        <is>
          <t>【日常操作】1. 在「风险登记册」黄色列维护风险条目、可能性与八个影响维度（影响维度可留空，已填项限选 1-5）。</t>
        </is>
      </c>
    </row>
    <row r="14">
      <c r="A14" t="inlineStr">
        <is>
          <t xml:space="preserve">　　　　　　2. 在「控制措施表」为每条风险挂控制点、打有效性分并标记是否关键控制，注意选对评估期间。</t>
        </is>
      </c>
    </row>
    <row r="15">
      <c r="A15" t="inlineStr">
        <is>
          <t xml:space="preserve">　　　　　　3. 打开「热力图」页切换评估期间查看固有/剩余矩阵；「汇总与优先级」页看排序清单与领域挽回率。</t>
        </is>
      </c>
    </row>
    <row r="16">
      <c r="A16" t="inlineStr">
        <is>
          <t xml:space="preserve">　　　　　　4. 调整权重矩阵、阈值、折减映射、一票否决系数请到「参数配置」，全簿公式自动重算。</t>
        </is>
      </c>
    </row>
    <row r="17">
      <c r="A17" t="inlineStr"/>
    </row>
    <row r="18">
      <c r="A18" t="inlineStr">
        <is>
          <t>【出图出报】运行  python tools/export_from_excel.py  导出 CSV 与 config.json 到 data/export/，</t>
        </is>
      </c>
    </row>
    <row r="19">
      <c r="A19" t="inlineStr">
        <is>
          <t xml:space="preserve">　　　　　　再运行  python tools/generate_report.py  生成 PNG 图集、迁徙矩阵与 PDF 高管简报至 output/。</t>
        </is>
      </c>
    </row>
    <row r="20">
      <c r="A20" t="inlineStr">
        <is>
          <t xml:space="preserve">　　　　　　网页版 web/risk_heatmap.html 可导入同一份 CSV 在浏览器中交互查看与打印汇报。</t>
        </is>
      </c>
    </row>
    <row r="21">
      <c r="A21" t="inlineStr"/>
    </row>
    <row r="22">
      <c r="A22" t="inlineStr">
        <is>
          <t>【要求】Excel 2019/365 及以上（使用 MINIFS/MAXIFS 函数）；启用宏无需、纯公式实现。</t>
        </is>
      </c>
    </row>
    <row r="23">
      <c r="A23" t="inlineStr">
        <is>
          <t>【约定】黄色单元格＝手工录入；灰色单元格＝公式自动计算，请勿覆盖。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C60"/>
  <sheetViews>
    <sheetView workbookViewId="0">
      <selection activeCell="A1" sqref="A1"/>
    </sheetView>
  </sheetViews>
  <sheetFormatPr baseColWidth="8" defaultRowHeight="15"/>
  <cols>
    <col width="8" customWidth="1" min="1" max="1"/>
    <col width="62" customWidth="1" min="2" max="2"/>
    <col width="40" customWidth="1" min="3" max="3"/>
  </cols>
  <sheetData>
    <row r="1">
      <c r="A1" s="1" t="inlineStr">
        <is>
          <t>评分锚点对照表 —— 打分时逐档对照，并在登记册 Z 列填写对应依据</t>
        </is>
      </c>
    </row>
    <row r="2">
      <c r="A2" s="2" t="inlineStr">
        <is>
          <t>金额刻度以国资委资产损失分级为基准，适合央企/国企；非国有企业可按营收规模等比例缩放（保持相邻档位 5~10 倍跨度），缩放后须全所统一。</t>
        </is>
      </c>
    </row>
    <row r="4">
      <c r="A4" s="3" t="inlineStr">
        <is>
          <t>发生可能性（1-5）</t>
        </is>
      </c>
    </row>
    <row r="5" ht="18" customHeight="1">
      <c r="A5" s="4" t="inlineStr">
        <is>
          <t>分值</t>
        </is>
      </c>
      <c r="B5" s="4" t="inlineStr">
        <is>
          <t>锚点</t>
        </is>
      </c>
      <c r="C5" s="4" t="inlineStr">
        <is>
          <t>权威依据</t>
        </is>
      </c>
    </row>
    <row r="6">
      <c r="A6" s="5" t="n">
        <v>1</v>
      </c>
      <c r="B6" s="6" t="inlineStr">
        <is>
          <t>同行业 5 年内无案例，控制健全且经测试</t>
        </is>
      </c>
      <c r="C6" s="7" t="inlineStr">
        <is>
          <t>COSO ERM 2017 风险偏好校准</t>
        </is>
      </c>
    </row>
    <row r="7">
      <c r="A7" s="5" t="n">
        <v>2</v>
      </c>
      <c r="B7" s="6" t="inlineStr">
        <is>
          <t>同行业偶发，本企业 3~5 年内无案例</t>
        </is>
      </c>
      <c r="C7" s="7" t="inlineStr">
        <is>
          <t>—</t>
        </is>
      </c>
    </row>
    <row r="8">
      <c r="A8" s="5" t="n">
        <v>3</v>
      </c>
      <c r="B8" s="6" t="inlineStr">
        <is>
          <t>本企业 1~2 年内发生过苗头或一般性问题</t>
        </is>
      </c>
      <c r="C8" s="7" t="inlineStr">
        <is>
          <t>内审发现/监管检查通报</t>
        </is>
      </c>
    </row>
    <row r="9">
      <c r="A9" s="5" t="n">
        <v>4</v>
      </c>
      <c r="B9" s="6" t="inlineStr">
        <is>
          <t>本企业年内已发生，或同行业高发</t>
        </is>
      </c>
      <c r="C9" s="7" t="inlineStr">
        <is>
          <t>ACFE：组织年均约 5% 收入流失于舞弊</t>
        </is>
      </c>
    </row>
    <row r="10">
      <c r="A10" s="5" t="n">
        <v>5</v>
      </c>
      <c r="B10" s="6" t="inlineStr">
        <is>
          <t>已多次发生或正在发生，相关控制基本失效</t>
        </is>
      </c>
      <c r="C10" s="7" t="inlineStr">
        <is>
          <t>—</t>
        </is>
      </c>
    </row>
    <row r="12">
      <c r="A12" s="3" t="inlineStr">
        <is>
          <t>经济损失 —— 国资委资产损失分级 + 国务院令第 493 号</t>
        </is>
      </c>
    </row>
    <row r="13" ht="18" customHeight="1">
      <c r="A13" s="4" t="inlineStr">
        <is>
          <t>分值</t>
        </is>
      </c>
      <c r="B13" s="4" t="inlineStr">
        <is>
          <t>锚点</t>
        </is>
      </c>
      <c r="C13" s="4" t="inlineStr">
        <is>
          <t>权威依据</t>
        </is>
      </c>
    </row>
    <row r="14">
      <c r="A14" s="5" t="n">
        <v>1</v>
      </c>
      <c r="B14" s="6" t="inlineStr">
        <is>
          <t>&lt;100 万元：未达“一般资产损失”标准，企业内部可消化</t>
        </is>
      </c>
      <c r="C14" s="7" t="inlineStr">
        <is>
          <t>国资委办法（一般以下）</t>
        </is>
      </c>
    </row>
    <row r="15">
      <c r="A15" s="5" t="n">
        <v>2</v>
      </c>
      <c r="B15" s="6" t="inlineStr">
        <is>
          <t>100~500 万元：构成“一般资产损失”</t>
        </is>
      </c>
      <c r="C15" s="7" t="inlineStr">
        <is>
          <t>国资委办法：&lt;500 万为一般</t>
        </is>
      </c>
    </row>
    <row r="16">
      <c r="A16" s="5" t="n">
        <v>3</v>
      </c>
      <c r="B16" s="6" t="inlineStr">
        <is>
          <t>500~5000 万元：构成“较大资产损失”；493 号令“较大事故”直接损失落于本档</t>
        </is>
      </c>
      <c r="C16" s="7" t="inlineStr">
        <is>
          <t>国资委办法；国务院令第 493 号</t>
        </is>
      </c>
    </row>
    <row r="17">
      <c r="A17" s="5" t="n">
        <v>4</v>
      </c>
      <c r="B17" s="6" t="inlineStr">
        <is>
          <t>5000 万~1 亿元：构成“重大资产损失”；493 号令“重大事故”量级</t>
        </is>
      </c>
      <c r="C17" s="7" t="inlineStr">
        <is>
          <t>国资委办法；493 号令</t>
        </is>
      </c>
    </row>
    <row r="18">
      <c r="A18" s="5" t="n">
        <v>5</v>
      </c>
      <c r="B18" s="6" t="inlineStr">
        <is>
          <t>≥1 亿元：493 号令“特别重大事故”量级，危及企业生存</t>
        </is>
      </c>
      <c r="C18" s="7" t="inlineStr">
        <is>
          <t>493 号令第三条</t>
        </is>
      </c>
    </row>
    <row r="20">
      <c r="A20" s="3" t="inlineStr">
        <is>
          <t>合规法律 —— 个保法/数安法/GDPR + 国资委不良后果三档</t>
        </is>
      </c>
    </row>
    <row r="21" ht="18" customHeight="1">
      <c r="A21" s="4" t="inlineStr">
        <is>
          <t>分值</t>
        </is>
      </c>
      <c r="B21" s="4" t="inlineStr">
        <is>
          <t>锚点</t>
        </is>
      </c>
      <c r="C21" s="4" t="inlineStr">
        <is>
          <t>权威依据</t>
        </is>
      </c>
    </row>
    <row r="22">
      <c r="A22" s="5" t="n">
        <v>1</v>
      </c>
      <c r="B22" s="6" t="inlineStr">
        <is>
          <t>内部制度瑕疵，责令整改即可，无外部后果</t>
        </is>
      </c>
      <c r="C22" s="7" t="inlineStr">
        <is>
          <t>—</t>
        </is>
      </c>
    </row>
    <row r="23">
      <c r="A23" s="5" t="n">
        <v>2</v>
      </c>
      <c r="B23" s="6" t="inlineStr">
        <is>
          <t>监管关注/责令限期整改；罚款 &lt;100 万元</t>
        </is>
      </c>
      <c r="C23" s="7" t="inlineStr">
        <is>
          <t>个保法第 66 条第一款</t>
        </is>
      </c>
    </row>
    <row r="24">
      <c r="A24" s="5" t="n">
        <v>3</v>
      </c>
      <c r="B24" s="6" t="inlineStr">
        <is>
          <t>一般行政处罚，罚款 100~1000 万元；责任人被处分</t>
        </is>
      </c>
      <c r="C24" s="7" t="inlineStr">
        <is>
          <t>数安法第 45 条；网数条例第 56 条</t>
        </is>
      </c>
    </row>
    <row r="25">
      <c r="A25" s="5" t="n">
        <v>4</v>
      </c>
      <c r="B25" s="6" t="inlineStr">
        <is>
          <t>情节严重：罚款 1000~5000 万或上年营业额 5%（GDPR 顶格 2000 万欧/4% 同档）</t>
        </is>
      </c>
      <c r="C25" s="7" t="inlineStr">
        <is>
          <t>个保法第 66 条第二款；GDPR Art.83</t>
        </is>
      </c>
    </row>
    <row r="26">
      <c r="A26" s="5" t="n">
        <v>5</v>
      </c>
      <c r="B26" s="6" t="inlineStr">
        <is>
          <t>刑事责任移送、责令停业/吊销执照；影响社会与国家层面</t>
        </is>
      </c>
      <c r="C26" s="7" t="inlineStr">
        <is>
          <t>国资委重大不良后果；刑法/监察法</t>
        </is>
      </c>
    </row>
    <row r="28">
      <c r="A28" s="3" t="inlineStr">
        <is>
          <t>运营中断 —— 493 号令事故等级 + ISO 22301 RTO 分级</t>
        </is>
      </c>
    </row>
    <row r="29" ht="18" customHeight="1">
      <c r="A29" s="4" t="inlineStr">
        <is>
          <t>分值</t>
        </is>
      </c>
      <c r="B29" s="4" t="inlineStr">
        <is>
          <t>锚点</t>
        </is>
      </c>
      <c r="C29" s="4" t="inlineStr">
        <is>
          <t>权威依据</t>
        </is>
      </c>
    </row>
    <row r="30">
      <c r="A30" s="5" t="n">
        <v>1</v>
      </c>
      <c r="B30" s="6" t="inlineStr">
        <is>
          <t>局部岗位受阻，当日恢复（RTO&lt;8h），无人员伤害</t>
        </is>
      </c>
      <c r="C30" s="7" t="inlineStr">
        <is>
          <t>ISO 22301 恢复目标分级</t>
        </is>
      </c>
    </row>
    <row r="31">
      <c r="A31" s="5" t="n">
        <v>2</v>
      </c>
      <c r="B31" s="6" t="inlineStr">
        <is>
          <t>单部门中断，RTO 1~3 天；轻微伤害事件</t>
        </is>
      </c>
      <c r="C31" s="7" t="inlineStr">
        <is>
          <t>ISO 22301</t>
        </is>
      </c>
    </row>
    <row r="32">
      <c r="A32" s="5" t="n">
        <v>3</v>
      </c>
      <c r="B32" s="6" t="inlineStr">
        <is>
          <t>跨部门/跨区域中断，RTO 3~30 天；或 493 号令“一般事故”</t>
        </is>
      </c>
      <c r="C32" s="7" t="inlineStr">
        <is>
          <t>493 号令第三条</t>
        </is>
      </c>
    </row>
    <row r="33">
      <c r="A33" s="5" t="n">
        <v>4</v>
      </c>
      <c r="B33" s="6" t="inlineStr">
        <is>
          <t>核心业务瘫痪 1~6 个月；或“较大/重大事故”量级</t>
        </is>
      </c>
      <c r="C33" s="7" t="inlineStr">
        <is>
          <t>493 号令第三条</t>
        </is>
      </c>
    </row>
    <row r="34">
      <c r="A34" s="5" t="n">
        <v>5</v>
      </c>
      <c r="B34" s="6" t="inlineStr">
        <is>
          <t>集团级瘫痪超 6 个月；或“特别重大事故”（≥30 人死亡或≥1 亿元）</t>
        </is>
      </c>
      <c r="C34" s="7" t="inlineStr">
        <is>
          <t>493 号令第三条</t>
        </is>
      </c>
    </row>
    <row r="36">
      <c r="A36" s="3" t="inlineStr">
        <is>
          <t>声誉舆情 —— 国资委不良后果三档 × 传播层级</t>
        </is>
      </c>
    </row>
    <row r="37" ht="18" customHeight="1">
      <c r="A37" s="4" t="inlineStr">
        <is>
          <t>分值</t>
        </is>
      </c>
      <c r="B37" s="4" t="inlineStr">
        <is>
          <t>锚点</t>
        </is>
      </c>
      <c r="C37" s="4" t="inlineStr">
        <is>
          <t>权威依据</t>
        </is>
      </c>
    </row>
    <row r="38">
      <c r="A38" s="5" t="n">
        <v>1</v>
      </c>
      <c r="B38" s="6" t="inlineStr">
        <is>
          <t>无外部感知，仅内部知晓</t>
        </is>
      </c>
      <c r="C38" s="7" t="inlineStr">
        <is>
          <t>—</t>
        </is>
      </c>
    </row>
    <row r="39">
      <c r="A39" s="5" t="n">
        <v>2</v>
      </c>
      <c r="B39" s="6" t="inlineStr">
        <is>
          <t>个别投诉、本地媒体负面报道，影响限于涉事企业</t>
        </is>
      </c>
      <c r="C39" s="7" t="inlineStr">
        <is>
          <t>国资委：一般不良后果</t>
        </is>
      </c>
    </row>
    <row r="40">
      <c r="A40" s="5" t="n">
        <v>3</v>
      </c>
      <c r="B40" s="6" t="inlineStr">
        <is>
          <t>行业内流传、省级媒体或行业监管通报</t>
        </is>
      </c>
      <c r="C40" s="7" t="inlineStr">
        <is>
          <t>国资委：较大不良后果</t>
        </is>
      </c>
    </row>
    <row r="41">
      <c r="A41" s="5" t="n">
        <v>4</v>
      </c>
      <c r="B41" s="6" t="inlineStr">
        <is>
          <t>全国性媒体报道、上级通报批评，资本市场负面反应</t>
        </is>
      </c>
      <c r="C41" s="7" t="inlineStr">
        <is>
          <t>国资委：较大~重大不良后果</t>
        </is>
      </c>
    </row>
    <row r="42">
      <c r="A42" s="5" t="n">
        <v>5</v>
      </c>
      <c r="B42" s="6" t="inlineStr">
        <is>
          <t>国家级媒体/监管部门点名、社会舆论事件、引发行业整顿</t>
        </is>
      </c>
      <c r="C42" s="7" t="inlineStr">
        <is>
          <t>国资委：重大不良后果</t>
        </is>
      </c>
    </row>
    <row r="44">
      <c r="A44" s="3" t="inlineStr">
        <is>
          <t>舞弊风险 —— ACFE 2024 基准 + 监察机关职务犯罪管辖</t>
        </is>
      </c>
    </row>
    <row r="45" ht="18" customHeight="1">
      <c r="A45" s="4" t="inlineStr">
        <is>
          <t>分值</t>
        </is>
      </c>
      <c r="B45" s="4" t="inlineStr">
        <is>
          <t>锚点</t>
        </is>
      </c>
      <c r="C45" s="4" t="inlineStr">
        <is>
          <t>权威依据</t>
        </is>
      </c>
    </row>
    <row r="46">
      <c r="A46" s="5" t="n">
        <v>1</v>
      </c>
      <c r="B46" s="6" t="inlineStr">
        <is>
          <t>无舞弊诱因，职责分离健全且经穿行测试，无历史案例</t>
        </is>
      </c>
      <c r="C46" s="7" t="inlineStr">
        <is>
          <t>COSO 控制环境；ISO 37001</t>
        </is>
      </c>
    </row>
    <row r="47">
      <c r="A47" s="5" t="n">
        <v>2</v>
      </c>
      <c r="B47" s="6" t="inlineStr">
        <is>
          <t>一般诱因但控制可见；潜在损失 &lt;100 万元</t>
        </is>
      </c>
      <c r="C47" s="7" t="inlineStr">
        <is>
          <t>ACFE 2024：中位损失 $14.5 万</t>
        </is>
      </c>
    </row>
    <row r="48">
      <c r="A48" s="5" t="n">
        <v>3</v>
      </c>
      <c r="B48" s="6" t="inlineStr">
        <is>
          <t>诱因集中（权限集中/监督薄弱）；潜在损失 100~500 万元</t>
        </is>
      </c>
      <c r="C48" s="7" t="inlineStr">
        <is>
          <t>ACFE 2024：75 分位 $75 万</t>
        </is>
      </c>
    </row>
    <row r="49">
      <c r="A49" s="5" t="n">
        <v>4</v>
      </c>
      <c r="B49" s="6" t="inlineStr">
        <is>
          <t>诱因高危或有历史案例；潜在损失 500~5000 万元；涉嫌职务违法</t>
        </is>
      </c>
      <c r="C49" s="7" t="inlineStr">
        <is>
          <t>国资委较大~重大资产损失档</t>
        </is>
      </c>
    </row>
    <row r="50">
      <c r="A50" s="5" t="n">
        <v>5</v>
      </c>
      <c r="B50" s="6" t="inlineStr">
        <is>
          <t>系统性舞弊土壤；潜在损失 ≥5000 万或 ≥年营收 5%</t>
        </is>
      </c>
      <c r="C50" s="7" t="inlineStr">
        <is>
          <t>ACFE：年均 5% 收入流失于舞弊</t>
        </is>
      </c>
    </row>
    <row r="52">
      <c r="A52" s="3" t="inlineStr">
        <is>
          <t>权威来源</t>
        </is>
      </c>
    </row>
    <row r="53">
      <c r="A53" s="2" t="inlineStr">
        <is>
          <t>1. 国务院国资委《中央企业违规经营投资责任追究实施办法》（2025 年修订，2026-01-01 施行，替代 37 号令）</t>
        </is>
      </c>
    </row>
    <row r="54">
      <c r="A54" s="2" t="inlineStr">
        <is>
          <t>2. 国务院令第 493 号《生产安全事故报告和调查处理条例》</t>
        </is>
      </c>
    </row>
    <row r="55">
      <c r="A55" s="2" t="inlineStr">
        <is>
          <t>3. 《个人信息保护法》第 66 条、《数据安全法》第 45 条、《网络数据安全管理条例》</t>
        </is>
      </c>
    </row>
    <row r="56">
      <c r="A56" s="2" t="inlineStr">
        <is>
          <t>4. GDPR 第 83 条（2000 万欧元或全球营业额 4%）</t>
        </is>
      </c>
    </row>
    <row r="57">
      <c r="A57" s="2" t="inlineStr">
        <is>
          <t>5. ACFE《Occupational Fraud 2024: A Report to the Nations》</t>
        </is>
      </c>
    </row>
    <row r="58">
      <c r="A58" s="2" t="inlineStr">
        <is>
          <t>6. 《监察法》《刑法》职务犯罪管辖标准</t>
        </is>
      </c>
    </row>
    <row r="59">
      <c r="A59" s="2" t="inlineStr">
        <is>
          <t>7. ISO 31000 / ISO 37301 / ISO 37001 / ISO 22301</t>
        </is>
      </c>
    </row>
    <row r="60">
      <c r="A60" s="2" t="inlineStr">
        <is>
          <t>8. COSO ERM 2017、IIA《全球内部审计准则》（2024）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4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</cols>
  <sheetData>
    <row r="1">
      <c r="A1" s="1" t="inlineStr">
        <is>
          <t>参数配置 —— 修改后全簿公式自动联动</t>
        </is>
      </c>
      <c r="I1" s="3" t="inlineStr">
        <is>
          <t>评估期间清单</t>
        </is>
      </c>
    </row>
    <row r="2">
      <c r="A2" s="3" t="inlineStr">
        <is>
          <t>影响维度权重（全领域默认行）</t>
        </is>
      </c>
      <c r="I2" s="8" t="inlineStr">
        <is>
          <t>全部</t>
        </is>
      </c>
    </row>
    <row r="3" ht="20" customHeight="1">
      <c r="A3" t="inlineStr">
        <is>
          <t>经济损失权重</t>
        </is>
      </c>
      <c r="B3" s="9" t="n">
        <v>0.25</v>
      </c>
      <c r="D3" s="4" t="inlineStr">
        <is>
          <t>控制分</t>
        </is>
      </c>
      <c r="E3" s="4" t="inlineStr">
        <is>
          <t>折减系数</t>
        </is>
      </c>
      <c r="I3" s="10" t="inlineStr">
        <is>
          <t>2025H2</t>
        </is>
      </c>
      <c r="J3" s="2" t="inlineStr">
        <is>
          <t>登记册/控制措施表/热力图的下拉自动引用本清单；新增评估期间在下方空行填写即可</t>
        </is>
      </c>
    </row>
    <row r="4">
      <c r="A4" t="inlineStr">
        <is>
          <t>合规法律权重</t>
        </is>
      </c>
      <c r="B4" s="9" t="n">
        <v>0.2</v>
      </c>
      <c r="D4" t="n">
        <v>1</v>
      </c>
      <c r="E4" s="9" t="n">
        <v>0</v>
      </c>
      <c r="I4" s="10" t="inlineStr">
        <is>
          <t>2026H1</t>
        </is>
      </c>
    </row>
    <row r="5">
      <c r="A5" t="inlineStr">
        <is>
          <t>运营中断权重</t>
        </is>
      </c>
      <c r="B5" s="9" t="n">
        <v>0.12</v>
      </c>
      <c r="D5" t="n">
        <v>2</v>
      </c>
      <c r="E5" s="9" t="n">
        <v>0.15</v>
      </c>
      <c r="I5" s="11" t="n"/>
    </row>
    <row r="6">
      <c r="A6" t="inlineStr">
        <is>
          <t>声誉舆情权重</t>
        </is>
      </c>
      <c r="B6" s="9" t="n">
        <v>0.1</v>
      </c>
      <c r="D6" t="n">
        <v>3</v>
      </c>
      <c r="E6" s="9" t="n">
        <v>0.4</v>
      </c>
      <c r="I6" s="11" t="n"/>
    </row>
    <row r="7">
      <c r="A7" t="inlineStr">
        <is>
          <t>舞弊风险权重</t>
        </is>
      </c>
      <c r="B7" s="9" t="n">
        <v>0.1</v>
      </c>
      <c r="D7" t="n">
        <v>4</v>
      </c>
      <c r="E7" s="9" t="n">
        <v>0.55</v>
      </c>
      <c r="I7" s="11" t="n"/>
    </row>
    <row r="8">
      <c r="A8" t="inlineStr">
        <is>
          <t>战略影响权重</t>
        </is>
      </c>
      <c r="B8" s="9" t="n">
        <v>0.1</v>
      </c>
      <c r="D8" t="n">
        <v>5</v>
      </c>
      <c r="E8" s="9" t="n">
        <v>0.7</v>
      </c>
      <c r="I8" s="11" t="n"/>
    </row>
    <row r="9">
      <c r="A9" t="inlineStr">
        <is>
          <t>数据安全权重</t>
        </is>
      </c>
      <c r="B9" s="9" t="n">
        <v>0.08</v>
      </c>
      <c r="D9" s="2" t="inlineStr">
        <is>
          <t>短板效应：剩余风险按单条风险“关键控制点最低分”取折减系数（无关键标记则按全部控制点最低分）</t>
        </is>
      </c>
    </row>
    <row r="10">
      <c r="A10" t="inlineStr">
        <is>
          <t>健康安全权重</t>
        </is>
      </c>
      <c r="B10" s="9" t="n">
        <v>0.05</v>
      </c>
      <c r="D10" t="inlineStr">
        <is>
          <t>参考折减系数</t>
        </is>
      </c>
      <c r="E10" s="9" t="n">
        <v>0.4</v>
      </c>
    </row>
    <row r="11">
      <c r="A11" t="inlineStr">
        <is>
          <t>权重合计（必须=1）</t>
        </is>
      </c>
      <c r="B11" s="12">
        <f>SUM(B3:B10)</f>
        <v/>
      </c>
      <c r="D11" s="2" t="inlineStr">
        <is>
          <t>仅用于热力图页剩余矩阵的着色基准</t>
        </is>
      </c>
    </row>
    <row r="12">
      <c r="A12" s="2" t="inlineStr">
        <is>
          <t>注：权重行之和不为 1 时，合计单元格变红，导出脚本将拒绝执行；维度打分留空=不适用。</t>
        </is>
      </c>
    </row>
    <row r="13">
      <c r="A13" s="3" t="inlineStr">
        <is>
          <t>剩余风险等级阈值（≥）</t>
        </is>
      </c>
      <c r="D13" t="inlineStr">
        <is>
          <t>一票否决系数</t>
        </is>
      </c>
      <c r="E13" s="9" t="n">
        <v>0.75</v>
      </c>
    </row>
    <row r="14">
      <c r="A14" t="inlineStr">
        <is>
          <t>极高风险</t>
        </is>
      </c>
      <c r="B14" s="13" t="n">
        <v>20</v>
      </c>
      <c r="D14" s="2" t="inlineStr">
        <is>
          <t>综合影响 = MAX(加权分, 该系数×最高维度分)：任一维度打高分时致命后果不被其他维度稀释</t>
        </is>
      </c>
    </row>
    <row r="15">
      <c r="A15" t="inlineStr">
        <is>
          <t>高风险</t>
        </is>
      </c>
      <c r="B15" s="13" t="n">
        <v>12</v>
      </c>
    </row>
    <row r="16">
      <c r="A16" t="inlineStr">
        <is>
          <t>中风险</t>
        </is>
      </c>
      <c r="B16" s="13" t="n">
        <v>6</v>
      </c>
    </row>
    <row r="17">
      <c r="A17" s="3" t="inlineStr">
        <is>
          <t>颜色图例</t>
        </is>
      </c>
      <c r="B17" s="13" t="n">
        <v>3</v>
      </c>
    </row>
    <row r="18">
      <c r="A18" s="14" t="inlineStr">
        <is>
          <t>极高</t>
        </is>
      </c>
    </row>
    <row r="19">
      <c r="A19" s="15" t="inlineStr">
        <is>
          <t>高</t>
        </is>
      </c>
    </row>
    <row r="20">
      <c r="A20" s="16" t="inlineStr">
        <is>
          <t>中</t>
        </is>
      </c>
    </row>
    <row r="21">
      <c r="A21" s="17" t="inlineStr">
        <is>
          <t>低</t>
        </is>
      </c>
    </row>
    <row r="22">
      <c r="A22" s="18" t="inlineStr">
        <is>
          <t>极低</t>
        </is>
      </c>
    </row>
    <row r="24">
      <c r="A24" s="3" t="inlineStr">
        <is>
          <t>分领域影响权重矩阵（八维；各行列合计须=1；登记册领域未列出时自动使用“全领域默认”行；维度留空=不适用，权重在已打分维度上重新归一化）</t>
        </is>
      </c>
    </row>
    <row r="25" ht="20" customHeight="1">
      <c r="A25" s="4" t="inlineStr">
        <is>
          <t>领域＼维度</t>
        </is>
      </c>
      <c r="B25" s="4" t="inlineStr">
        <is>
          <t>经济损失</t>
        </is>
      </c>
      <c r="C25" s="4" t="inlineStr">
        <is>
          <t>合规法律</t>
        </is>
      </c>
      <c r="D25" s="4" t="inlineStr">
        <is>
          <t>运营中断</t>
        </is>
      </c>
      <c r="E25" s="4" t="inlineStr">
        <is>
          <t>声誉舆情</t>
        </is>
      </c>
      <c r="F25" s="4" t="inlineStr">
        <is>
          <t>舞弊风险</t>
        </is>
      </c>
      <c r="G25" s="4" t="inlineStr">
        <is>
          <t>战略影响</t>
        </is>
      </c>
      <c r="H25" s="4" t="inlineStr">
        <is>
          <t>数据安全</t>
        </is>
      </c>
      <c r="I25" s="4" t="inlineStr">
        <is>
          <t>健康安全</t>
        </is>
      </c>
      <c r="J25" s="4" t="inlineStr">
        <is>
          <t>行合计</t>
        </is>
      </c>
    </row>
    <row r="26">
      <c r="A26" s="19" t="inlineStr">
        <is>
          <t>全领域默认</t>
        </is>
      </c>
      <c r="B26" s="20" t="n">
        <v>0.25</v>
      </c>
      <c r="C26" s="20" t="n">
        <v>0.2</v>
      </c>
      <c r="D26" s="20" t="n">
        <v>0.12</v>
      </c>
      <c r="E26" s="20" t="n">
        <v>0.1</v>
      </c>
      <c r="F26" s="20" t="n">
        <v>0.1</v>
      </c>
      <c r="G26" s="20" t="n">
        <v>0.1</v>
      </c>
      <c r="H26" s="20" t="n">
        <v>0.08</v>
      </c>
      <c r="I26" s="20" t="n">
        <v>0.05</v>
      </c>
      <c r="J26" s="21">
        <f>SUM(B26:I26)</f>
        <v/>
      </c>
    </row>
    <row r="27">
      <c r="A27" s="19" t="inlineStr">
        <is>
          <t>战略与投资</t>
        </is>
      </c>
      <c r="B27" s="20" t="n">
        <v>0.2</v>
      </c>
      <c r="C27" s="20" t="n">
        <v>0.1</v>
      </c>
      <c r="D27" s="20" t="n">
        <v>0.2</v>
      </c>
      <c r="E27" s="20" t="n">
        <v>0.2</v>
      </c>
      <c r="F27" s="20" t="n">
        <v>0.05</v>
      </c>
      <c r="G27" s="20" t="n">
        <v>0.2</v>
      </c>
      <c r="H27" s="20" t="n">
        <v>0.03</v>
      </c>
      <c r="I27" s="20" t="n">
        <v>0.02</v>
      </c>
      <c r="J27" s="21">
        <f>SUM(B27:I27)</f>
        <v/>
      </c>
    </row>
    <row r="28">
      <c r="A28" s="19" t="inlineStr">
        <is>
          <t>治理与决策</t>
        </is>
      </c>
      <c r="B28" s="20" t="n">
        <v>0.18</v>
      </c>
      <c r="C28" s="20" t="n">
        <v>0.2</v>
      </c>
      <c r="D28" s="20" t="n">
        <v>0.12</v>
      </c>
      <c r="E28" s="20" t="n">
        <v>0.2</v>
      </c>
      <c r="F28" s="20" t="n">
        <v>0.08</v>
      </c>
      <c r="G28" s="20" t="n">
        <v>0.18</v>
      </c>
      <c r="H28" s="20" t="n">
        <v>0.03</v>
      </c>
      <c r="I28" s="20" t="n">
        <v>0.01</v>
      </c>
      <c r="J28" s="21">
        <f>SUM(B28:I28)</f>
        <v/>
      </c>
    </row>
    <row r="29">
      <c r="A29" s="19" t="inlineStr">
        <is>
          <t>资金活动</t>
        </is>
      </c>
      <c r="B29" s="20" t="n">
        <v>0.32</v>
      </c>
      <c r="C29" s="20" t="n">
        <v>0.2</v>
      </c>
      <c r="D29" s="20" t="n">
        <v>0.08</v>
      </c>
      <c r="E29" s="20" t="n">
        <v>0.12</v>
      </c>
      <c r="F29" s="20" t="n">
        <v>0.08</v>
      </c>
      <c r="G29" s="20" t="n">
        <v>0.1</v>
      </c>
      <c r="H29" s="20" t="n">
        <v>0.06</v>
      </c>
      <c r="I29" s="20" t="n">
        <v>0.04</v>
      </c>
      <c r="J29" s="21">
        <f>SUM(B29:I29)</f>
        <v/>
      </c>
    </row>
    <row r="30">
      <c r="A30" s="19" t="inlineStr">
        <is>
          <t>财务报告与税务</t>
        </is>
      </c>
      <c r="B30" s="20" t="n">
        <v>0.28</v>
      </c>
      <c r="C30" s="20" t="n">
        <v>0.25</v>
      </c>
      <c r="D30" s="20" t="n">
        <v>0.08</v>
      </c>
      <c r="E30" s="20" t="n">
        <v>0.16</v>
      </c>
      <c r="F30" s="20" t="n">
        <v>0.04</v>
      </c>
      <c r="G30" s="20" t="n">
        <v>0.1</v>
      </c>
      <c r="H30" s="20" t="n">
        <v>0.06</v>
      </c>
      <c r="I30" s="20" t="n">
        <v>0.03</v>
      </c>
      <c r="J30" s="21">
        <f>SUM(B30:I30)</f>
        <v/>
      </c>
    </row>
    <row r="31">
      <c r="A31" s="19" t="inlineStr">
        <is>
          <t>资产管理</t>
        </is>
      </c>
      <c r="B31" s="20" t="n">
        <v>0.32</v>
      </c>
      <c r="C31" s="20" t="n">
        <v>0.08</v>
      </c>
      <c r="D31" s="20" t="n">
        <v>0.16</v>
      </c>
      <c r="E31" s="20" t="n">
        <v>0.12</v>
      </c>
      <c r="F31" s="20" t="n">
        <v>0.12</v>
      </c>
      <c r="G31" s="20" t="n">
        <v>0.08</v>
      </c>
      <c r="H31" s="20" t="n">
        <v>0.04</v>
      </c>
      <c r="I31" s="20" t="n">
        <v>0.08</v>
      </c>
      <c r="J31" s="21">
        <f>SUM(B31:I31)</f>
        <v/>
      </c>
    </row>
    <row r="32">
      <c r="A32" s="19" t="inlineStr">
        <is>
          <t>采购与外包</t>
        </is>
      </c>
      <c r="B32" s="20" t="n">
        <v>0.2</v>
      </c>
      <c r="C32" s="20" t="n">
        <v>0.2</v>
      </c>
      <c r="D32" s="20" t="n">
        <v>0.08</v>
      </c>
      <c r="E32" s="20" t="n">
        <v>0.12</v>
      </c>
      <c r="F32" s="20" t="n">
        <v>0.2</v>
      </c>
      <c r="G32" s="20" t="n">
        <v>0.08</v>
      </c>
      <c r="H32" s="20" t="n">
        <v>0.05</v>
      </c>
      <c r="I32" s="20" t="n">
        <v>0.07000000000000001</v>
      </c>
      <c r="J32" s="21">
        <f>SUM(B32:I32)</f>
        <v/>
      </c>
    </row>
    <row r="33">
      <c r="A33" s="19" t="inlineStr">
        <is>
          <t>合同管理</t>
        </is>
      </c>
      <c r="B33" s="20" t="n">
        <v>0.2</v>
      </c>
      <c r="C33" s="20" t="n">
        <v>0.25</v>
      </c>
      <c r="D33" s="20" t="n">
        <v>0.12</v>
      </c>
      <c r="E33" s="20" t="n">
        <v>0.16</v>
      </c>
      <c r="F33" s="20" t="n">
        <v>0.08</v>
      </c>
      <c r="G33" s="20" t="n">
        <v>0.12</v>
      </c>
      <c r="H33" s="20" t="n">
        <v>0.04</v>
      </c>
      <c r="I33" s="20" t="n">
        <v>0.03</v>
      </c>
      <c r="J33" s="21">
        <f>SUM(B33:I33)</f>
        <v/>
      </c>
    </row>
    <row r="34">
      <c r="A34" s="19" t="inlineStr">
        <is>
          <t>工程项目</t>
        </is>
      </c>
      <c r="B34" s="20" t="n">
        <v>0.28</v>
      </c>
      <c r="C34" s="20" t="n">
        <v>0.12</v>
      </c>
      <c r="D34" s="20" t="n">
        <v>0.16</v>
      </c>
      <c r="E34" s="20" t="n">
        <v>0.16</v>
      </c>
      <c r="F34" s="20" t="n">
        <v>0.08</v>
      </c>
      <c r="G34" s="20" t="n">
        <v>0.1</v>
      </c>
      <c r="H34" s="20" t="n">
        <v>0.02</v>
      </c>
      <c r="I34" s="20" t="n">
        <v>0.08</v>
      </c>
      <c r="J34" s="21">
        <f>SUM(B34:I34)</f>
        <v/>
      </c>
    </row>
    <row r="35">
      <c r="A35" s="19" t="inlineStr">
        <is>
          <t>人力资源</t>
        </is>
      </c>
      <c r="B35" s="20" t="n">
        <v>0.15</v>
      </c>
      <c r="C35" s="20" t="n">
        <v>0.16</v>
      </c>
      <c r="D35" s="20" t="n">
        <v>0.2</v>
      </c>
      <c r="E35" s="20" t="n">
        <v>0.16</v>
      </c>
      <c r="F35" s="20" t="n">
        <v>0.12</v>
      </c>
      <c r="G35" s="20" t="n">
        <v>0.12</v>
      </c>
      <c r="H35" s="20" t="n">
        <v>0.04</v>
      </c>
      <c r="I35" s="20" t="n">
        <v>0.05</v>
      </c>
      <c r="J35" s="21">
        <f>SUM(B35:I35)</f>
        <v/>
      </c>
    </row>
    <row r="36">
      <c r="A36" s="19" t="inlineStr">
        <is>
          <t>信息系统</t>
        </is>
      </c>
      <c r="B36" s="20" t="n">
        <v>0.1</v>
      </c>
      <c r="C36" s="20" t="n">
        <v>0.12</v>
      </c>
      <c r="D36" s="20" t="n">
        <v>0.28</v>
      </c>
      <c r="E36" s="20" t="n">
        <v>0.16</v>
      </c>
      <c r="F36" s="20" t="n">
        <v>0.12</v>
      </c>
      <c r="G36" s="20" t="n">
        <v>0.08</v>
      </c>
      <c r="H36" s="20" t="n">
        <v>0.12</v>
      </c>
      <c r="I36" s="20" t="n">
        <v>0.02</v>
      </c>
      <c r="J36" s="21">
        <f>SUM(B36:I36)</f>
        <v/>
      </c>
    </row>
    <row r="37">
      <c r="A37" s="19" t="inlineStr">
        <is>
          <t>合规与法律</t>
        </is>
      </c>
      <c r="B37" s="20" t="n">
        <v>0.1</v>
      </c>
      <c r="C37" s="20" t="n">
        <v>0.38</v>
      </c>
      <c r="D37" s="20" t="n">
        <v>0.08</v>
      </c>
      <c r="E37" s="20" t="n">
        <v>0.2</v>
      </c>
      <c r="F37" s="20" t="n">
        <v>0.04</v>
      </c>
      <c r="G37" s="20" t="n">
        <v>0.08</v>
      </c>
      <c r="H37" s="20" t="n">
        <v>0.1</v>
      </c>
      <c r="I37" s="20" t="n">
        <v>0.02</v>
      </c>
      <c r="J37" s="21">
        <f>SUM(B37:I37)</f>
        <v/>
      </c>
    </row>
    <row r="38">
      <c r="A38" s="19" t="inlineStr">
        <is>
          <t>安全环保</t>
        </is>
      </c>
      <c r="B38" s="20" t="n">
        <v>0.1</v>
      </c>
      <c r="C38" s="20" t="n">
        <v>0.22</v>
      </c>
      <c r="D38" s="20" t="n">
        <v>0.22</v>
      </c>
      <c r="E38" s="20" t="n">
        <v>0.18</v>
      </c>
      <c r="F38" s="20" t="n">
        <v>0</v>
      </c>
      <c r="G38" s="20" t="n">
        <v>0.06</v>
      </c>
      <c r="H38" s="20" t="n">
        <v>0.02</v>
      </c>
      <c r="I38" s="20" t="n">
        <v>0.2</v>
      </c>
      <c r="J38" s="21">
        <f>SUM(B38:I38)</f>
        <v/>
      </c>
    </row>
  </sheetData>
  <conditionalFormatting sqref="B11">
    <cfRule type="cellIs" priority="1" operator="notEqual" dxfId="0" stopIfTrue="1">
      <formula>1</formula>
    </cfRule>
  </conditionalFormatting>
  <conditionalFormatting sqref="J26">
    <cfRule type="cellIs" priority="2" operator="notEqual" dxfId="0" stopIfTrue="1">
      <formula>1</formula>
    </cfRule>
  </conditionalFormatting>
  <conditionalFormatting sqref="J27">
    <cfRule type="cellIs" priority="3" operator="notEqual" dxfId="0" stopIfTrue="1">
      <formula>1</formula>
    </cfRule>
  </conditionalFormatting>
  <conditionalFormatting sqref="J28">
    <cfRule type="cellIs" priority="4" operator="notEqual" dxfId="0" stopIfTrue="1">
      <formula>1</formula>
    </cfRule>
  </conditionalFormatting>
  <conditionalFormatting sqref="J29">
    <cfRule type="cellIs" priority="5" operator="notEqual" dxfId="0" stopIfTrue="1">
      <formula>1</formula>
    </cfRule>
  </conditionalFormatting>
  <conditionalFormatting sqref="J30">
    <cfRule type="cellIs" priority="6" operator="notEqual" dxfId="0" stopIfTrue="1">
      <formula>1</formula>
    </cfRule>
  </conditionalFormatting>
  <conditionalFormatting sqref="J31">
    <cfRule type="cellIs" priority="7" operator="notEqual" dxfId="0" stopIfTrue="1">
      <formula>1</formula>
    </cfRule>
  </conditionalFormatting>
  <conditionalFormatting sqref="J32">
    <cfRule type="cellIs" priority="8" operator="notEqual" dxfId="0" stopIfTrue="1">
      <formula>1</formula>
    </cfRule>
  </conditionalFormatting>
  <conditionalFormatting sqref="J33">
    <cfRule type="cellIs" priority="9" operator="notEqual" dxfId="0" stopIfTrue="1">
      <formula>1</formula>
    </cfRule>
  </conditionalFormatting>
  <conditionalFormatting sqref="J34">
    <cfRule type="cellIs" priority="10" operator="notEqual" dxfId="0" stopIfTrue="1">
      <formula>1</formula>
    </cfRule>
  </conditionalFormatting>
  <conditionalFormatting sqref="J35">
    <cfRule type="cellIs" priority="11" operator="notEqual" dxfId="0" stopIfTrue="1">
      <formula>1</formula>
    </cfRule>
  </conditionalFormatting>
  <conditionalFormatting sqref="J36">
    <cfRule type="cellIs" priority="12" operator="notEqual" dxfId="0" stopIfTrue="1">
      <formula>1</formula>
    </cfRule>
  </conditionalFormatting>
  <conditionalFormatting sqref="J37">
    <cfRule type="cellIs" priority="13" operator="notEqual" dxfId="0" stopIfTrue="1">
      <formula>1</formula>
    </cfRule>
  </conditionalFormatting>
  <conditionalFormatting sqref="J38">
    <cfRule type="cellIs" priority="14" operator="notEqual" dxfId="0" stopIfTrue="1">
      <formula>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Z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12" customWidth="1" min="3" max="3"/>
    <col width="42" customWidth="1" min="4" max="4"/>
    <col width="11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8" customWidth="1" min="22" max="22"/>
    <col width="8" customWidth="1" min="23" max="23"/>
    <col width="11" customWidth="1" min="24" max="24"/>
    <col width="10" customWidth="1" min="25" max="25"/>
    <col width="40" customWidth="1" min="26" max="26"/>
  </cols>
  <sheetData>
    <row r="1">
      <c r="A1" s="1" t="inlineStr">
        <is>
          <t>风险登记册（黄色列录入，灰色列自动计算，请勿改写公式；影响维度可留空=不适用）</t>
        </is>
      </c>
    </row>
    <row r="3" ht="30" customHeight="1">
      <c r="A3" s="4" t="inlineStr">
        <is>
          <t>风险编号</t>
        </is>
      </c>
      <c r="B3" s="4" t="inlineStr">
        <is>
          <t>风险名称</t>
        </is>
      </c>
      <c r="C3" s="4" t="inlineStr">
        <is>
          <t>所属领域</t>
        </is>
      </c>
      <c r="D3" s="4" t="inlineStr">
        <is>
          <t>风险描述</t>
        </is>
      </c>
      <c r="E3" s="4" t="inlineStr">
        <is>
          <t>责任部门</t>
        </is>
      </c>
      <c r="F3" s="4" t="inlineStr">
        <is>
          <t>评估期间</t>
        </is>
      </c>
      <c r="G3" s="4" t="inlineStr">
        <is>
          <t>发生可能性
(1-5)</t>
        </is>
      </c>
      <c r="H3" s="4" t="inlineStr">
        <is>
          <t>经济损失
(1-5)</t>
        </is>
      </c>
      <c r="I3" s="4" t="inlineStr">
        <is>
          <t>合规法律
(1-5)</t>
        </is>
      </c>
      <c r="J3" s="4" t="inlineStr">
        <is>
          <t>运营中断
(1-5)</t>
        </is>
      </c>
      <c r="K3" s="4" t="inlineStr">
        <is>
          <t>声誉舆情
(1-5)</t>
        </is>
      </c>
      <c r="L3" s="4" t="inlineStr">
        <is>
          <t>舞弊风险
(1-5)</t>
        </is>
      </c>
      <c r="M3" s="4" t="inlineStr">
        <is>
          <t>战略影响
(1-5)</t>
        </is>
      </c>
      <c r="N3" s="4" t="inlineStr">
        <is>
          <t>数据安全
(1-5)</t>
        </is>
      </c>
      <c r="O3" s="4" t="inlineStr">
        <is>
          <t>健康安全
(1-5)</t>
        </is>
      </c>
      <c r="P3" s="4" t="inlineStr">
        <is>
          <t>综合影响</t>
        </is>
      </c>
      <c r="Q3" s="4" t="inlineStr">
        <is>
          <t>固有风险</t>
        </is>
      </c>
      <c r="R3" s="4" t="inlineStr">
        <is>
          <t>关键控制分</t>
        </is>
      </c>
      <c r="S3" s="4" t="inlineStr">
        <is>
          <t>折减系数</t>
        </is>
      </c>
      <c r="T3" s="4" t="inlineStr">
        <is>
          <t>剩余风险</t>
        </is>
      </c>
      <c r="U3" s="4" t="inlineStr">
        <is>
          <t>剩余等级</t>
        </is>
      </c>
      <c r="V3" s="4" t="inlineStr">
        <is>
          <t>影响档
(辅助)</t>
        </is>
      </c>
      <c r="W3" s="4" t="inlineStr">
        <is>
          <t>固有点
(辅助)</t>
        </is>
      </c>
      <c r="X3" s="4" t="inlineStr">
        <is>
          <t>建议审计频次</t>
        </is>
      </c>
      <c r="Y3" s="4" t="inlineStr">
        <is>
          <t>控制挽回率</t>
        </is>
      </c>
      <c r="Z3" s="4" t="inlineStr">
        <is>
          <t>打分依据</t>
        </is>
      </c>
    </row>
    <row r="4">
      <c r="A4" s="22" t="inlineStr">
        <is>
          <t>R001</t>
        </is>
      </c>
      <c r="B4" s="22" t="inlineStr">
        <is>
          <t>费用报销合规风险</t>
        </is>
      </c>
      <c r="C4" s="22" t="inlineStr">
        <is>
          <t>资金活动</t>
        </is>
      </c>
      <c r="D4" s="22" t="inlineStr">
        <is>
          <t>大额异常费用报销审核不到位，存在虚假报销套取资金可能</t>
        </is>
      </c>
      <c r="E4" s="22" t="inlineStr">
        <is>
          <t>财务部</t>
        </is>
      </c>
      <c r="F4" s="22" t="inlineStr">
        <is>
          <t>2025H2</t>
        </is>
      </c>
      <c r="G4" s="10" t="n">
        <v>4</v>
      </c>
      <c r="H4" s="10" t="n">
        <v>4</v>
      </c>
      <c r="I4" s="10" t="n">
        <v>4</v>
      </c>
      <c r="J4" s="10" t="n">
        <v>2</v>
      </c>
      <c r="K4" s="10" t="n">
        <v>3</v>
      </c>
      <c r="L4" s="10" t="n">
        <v>5</v>
      </c>
      <c r="M4" s="10" t="n">
        <v>1</v>
      </c>
      <c r="N4" s="10" t="n">
        <v>2</v>
      </c>
      <c r="P4" s="23">
        <f>IF($A4="","",IF(COUNT(H4:O4)=0,"",ROUND(MAX(SUMPRODUCT(H4:O4,IFERROR(VLOOKUP($C4,参数配置!$A$26:$I$38,{2,3,4,5,6,7,8,9},FALSE),VLOOKUP(参数配置!$A$26,参数配置!$A$26:$I$38,{2,3,4,5,6,7,8,9},FALSE)))/SUMPRODUCT(IFERROR(VLOOKUP($C4,参数配置!$A$26:$I$38,{2,3,4,5,6,7,8,9},FALSE),VLOOKUP(参数配置!$A$26,参数配置!$A$26:$I$38,{2,3,4,5,6,7,8,9},FALSE)),--(H4:O4&lt;&gt;"")),参数配置!$E$13*MAX(H4:O4)),2)))</f>
        <v/>
      </c>
      <c r="Q4" s="23">
        <f>IF($A4="","",IF(P4="","",ROUND(G4*P4,2)))</f>
        <v/>
      </c>
      <c r="R4" s="8">
        <f>IF($A4="","",IF(COUNTIFS(控制措施表!$B:$B,$A4,控制措施表!$C:$C,$F4,控制措施表!$F:$F,"是")=0,IF(COUNTIFS(控制措施表!$B:$B,$A4,控制措施表!$C:$C,$F4)=0,"",MINIFS(控制措施表!$E:$E,控制措施表!$B:$B,$A4,控制措施表!$C:$C,$F4)),MINIFS(控制措施表!$E:$E,控制措施表!$B:$B,$A4,控制措施表!$C:$C,$F4,控制措施表!$F:$F,"是")))</f>
        <v/>
      </c>
      <c r="S4" s="24">
        <f>IF($A4="","",IF(R4="",0,VLOOKUP(R4,参数配置!$D$4:$E$8,2,FALSE)))</f>
        <v/>
      </c>
      <c r="T4" s="23">
        <f>IF($A4="","",IF(Q4="","",ROUND(Q4*(1-S4),2)))</f>
        <v/>
      </c>
      <c r="U4" s="8">
        <f>IF($A4="","",IF(T4="","",IF(T4&gt;=参数配置!$B$14,"极高",IF(T4&gt;=参数配置!$B$15,"高",IF(T4&gt;=参数配置!$B$16,"中",IF(T4&gt;=参数配置!$B$17,"低","极低"))))))</f>
        <v/>
      </c>
      <c r="V4" s="8">
        <f>IF($A4="","",IF(P4="","",ROUND(P4,0)))</f>
        <v/>
      </c>
      <c r="W4" s="8">
        <f>IF($A4="","",IF(Q4="","",ROUND(Q4,0)))</f>
        <v/>
      </c>
      <c r="X4" s="8">
        <f>IF($A4="","",IF(U4="","",IF(U4="极高","每年必审",IF(U4="高","每年审计",IF(U4="中","两年一轮","按需抽查")))))</f>
        <v/>
      </c>
      <c r="Y4" s="24">
        <f>IF($A4="","",IF(OR(Q4="",Q4=0),"",(Q4-T4)/Q4))</f>
        <v/>
      </c>
      <c r="Z4" s="22" t="inlineStr">
        <is>
          <t>2025 年内审抽查发现 3 笔超标准报销；预算系统 2025Q4 上线刚性拦截</t>
        </is>
      </c>
    </row>
    <row r="5">
      <c r="A5" s="22" t="inlineStr">
        <is>
          <t>R001</t>
        </is>
      </c>
      <c r="B5" s="22" t="inlineStr">
        <is>
          <t>费用报销合规风险</t>
        </is>
      </c>
      <c r="C5" s="22" t="inlineStr">
        <is>
          <t>资金活动</t>
        </is>
      </c>
      <c r="D5" s="22" t="inlineStr">
        <is>
          <t>大额异常费用报销审核不到位，存在虚假报销套取资金可能</t>
        </is>
      </c>
      <c r="E5" s="22" t="inlineStr">
        <is>
          <t>财务部</t>
        </is>
      </c>
      <c r="F5" s="22" t="inlineStr">
        <is>
          <t>2026H1</t>
        </is>
      </c>
      <c r="G5" s="10" t="n">
        <v>3</v>
      </c>
      <c r="H5" s="10" t="n">
        <v>4</v>
      </c>
      <c r="I5" s="10" t="n">
        <v>4</v>
      </c>
      <c r="J5" s="10" t="n">
        <v>2</v>
      </c>
      <c r="K5" s="10" t="n">
        <v>3</v>
      </c>
      <c r="L5" s="10" t="n">
        <v>4</v>
      </c>
      <c r="M5" s="10" t="n">
        <v>1</v>
      </c>
      <c r="N5" s="10" t="n">
        <v>2</v>
      </c>
      <c r="P5" s="23">
        <f>IF($A5="","",IF(COUNT(H5:O5)=0,"",ROUND(MAX(SUMPRODUCT(H5:O5,IFERROR(VLOOKUP($C5,参数配置!$A$26:$I$38,{2,3,4,5,6,7,8,9},FALSE),VLOOKUP(参数配置!$A$26,参数配置!$A$26:$I$38,{2,3,4,5,6,7,8,9},FALSE)))/SUMPRODUCT(IFERROR(VLOOKUP($C5,参数配置!$A$26:$I$38,{2,3,4,5,6,7,8,9},FALSE),VLOOKUP(参数配置!$A$26,参数配置!$A$26:$I$38,{2,3,4,5,6,7,8,9},FALSE)),--(H5:O5&lt;&gt;"")),参数配置!$E$13*MAX(H5:O5)),2)))</f>
        <v/>
      </c>
      <c r="Q5" s="23">
        <f>IF($A5="","",IF(P5="","",ROUND(G5*P5,2)))</f>
        <v/>
      </c>
      <c r="R5" s="8">
        <f>IF($A5="","",IF(COUNTIFS(控制措施表!$B:$B,$A5,控制措施表!$C:$C,$F5,控制措施表!$F:$F,"是")=0,IF(COUNTIFS(控制措施表!$B:$B,$A5,控制措施表!$C:$C,$F5)=0,"",MINIFS(控制措施表!$E:$E,控制措施表!$B:$B,$A5,控制措施表!$C:$C,$F5)),MINIFS(控制措施表!$E:$E,控制措施表!$B:$B,$A5,控制措施表!$C:$C,$F5,控制措施表!$F:$F,"是")))</f>
        <v/>
      </c>
      <c r="S5" s="24">
        <f>IF($A5="","",IF(R5="",0,VLOOKUP(R5,参数配置!$D$4:$E$8,2,FALSE)))</f>
        <v/>
      </c>
      <c r="T5" s="23">
        <f>IF($A5="","",IF(Q5="","",ROUND(Q5*(1-S5),2)))</f>
        <v/>
      </c>
      <c r="U5" s="8">
        <f>IF($A5="","",IF(T5="","",IF(T5&gt;=参数配置!$B$14,"极高",IF(T5&gt;=参数配置!$B$15,"高",IF(T5&gt;=参数配置!$B$16,"中",IF(T5&gt;=参数配置!$B$17,"低","极低"))))))</f>
        <v/>
      </c>
      <c r="V5" s="8">
        <f>IF($A5="","",IF(P5="","",ROUND(P5,0)))</f>
        <v/>
      </c>
      <c r="W5" s="8">
        <f>IF($A5="","",IF(Q5="","",ROUND(Q5,0)))</f>
        <v/>
      </c>
      <c r="X5" s="8">
        <f>IF($A5="","",IF(U5="","",IF(U5="极高","每年必审",IF(U5="高","每年审计",IF(U5="中","两年一轮","按需抽查")))))</f>
        <v/>
      </c>
      <c r="Y5" s="24">
        <f>IF($A5="","",IF(OR(Q5="",Q5=0),"",(Q5-T5)/Q5))</f>
        <v/>
      </c>
      <c r="Z5" s="22" t="inlineStr">
        <is>
          <t>2025 年内审抽查发现 3 笔超标准报销；预算系统 2025Q4 上线刚性拦截</t>
        </is>
      </c>
    </row>
    <row r="6">
      <c r="A6" s="22" t="inlineStr">
        <is>
          <t>R002</t>
        </is>
      </c>
      <c r="B6" s="22" t="inlineStr">
        <is>
          <t>收入确认完整性</t>
        </is>
      </c>
      <c r="C6" s="22" t="inlineStr">
        <is>
          <t>财务报告与税务</t>
        </is>
      </c>
      <c r="D6" s="22" t="inlineStr">
        <is>
          <t>收入截止性错误或提前确认，导致财报失真</t>
        </is>
      </c>
      <c r="E6" s="22" t="inlineStr">
        <is>
          <t>财务部</t>
        </is>
      </c>
      <c r="F6" s="22" t="inlineStr">
        <is>
          <t>2025H2</t>
        </is>
      </c>
      <c r="G6" s="10" t="n">
        <v>3</v>
      </c>
      <c r="H6" s="10" t="n">
        <v>5</v>
      </c>
      <c r="I6" s="10" t="n">
        <v>4</v>
      </c>
      <c r="J6" s="10" t="n">
        <v>3</v>
      </c>
      <c r="K6" s="10" t="n">
        <v>4</v>
      </c>
      <c r="L6" s="10" t="n">
        <v>2</v>
      </c>
      <c r="M6" s="10" t="n">
        <v>3</v>
      </c>
      <c r="N6" s="10" t="n">
        <v>2</v>
      </c>
      <c r="P6" s="23">
        <f>IF($A6="","",IF(COUNT(H6:O6)=0,"",ROUND(MAX(SUMPRODUCT(H6:O6,IFERROR(VLOOKUP($C6,参数配置!$A$26:$I$38,{2,3,4,5,6,7,8,9},FALSE),VLOOKUP(参数配置!$A$26,参数配置!$A$26:$I$38,{2,3,4,5,6,7,8,9},FALSE)))/SUMPRODUCT(IFERROR(VLOOKUP($C6,参数配置!$A$26:$I$38,{2,3,4,5,6,7,8,9},FALSE),VLOOKUP(参数配置!$A$26,参数配置!$A$26:$I$38,{2,3,4,5,6,7,8,9},FALSE)),--(H6:O6&lt;&gt;"")),参数配置!$E$13*MAX(H6:O6)),2)))</f>
        <v/>
      </c>
      <c r="Q6" s="23">
        <f>IF($A6="","",IF(P6="","",ROUND(G6*P6,2)))</f>
        <v/>
      </c>
      <c r="R6" s="8">
        <f>IF($A6="","",IF(COUNTIFS(控制措施表!$B:$B,$A6,控制措施表!$C:$C,$F6,控制措施表!$F:$F,"是")=0,IF(COUNTIFS(控制措施表!$B:$B,$A6,控制措施表!$C:$C,$F6)=0,"",MINIFS(控制措施表!$E:$E,控制措施表!$B:$B,$A6,控制措施表!$C:$C,$F6)),MINIFS(控制措施表!$E:$E,控制措施表!$B:$B,$A6,控制措施表!$C:$C,$F6,控制措施表!$F:$F,"是")))</f>
        <v/>
      </c>
      <c r="S6" s="24">
        <f>IF($A6="","",IF(R6="",0,VLOOKUP(R6,参数配置!$D$4:$E$8,2,FALSE)))</f>
        <v/>
      </c>
      <c r="T6" s="23">
        <f>IF($A6="","",IF(Q6="","",ROUND(Q6*(1-S6),2)))</f>
        <v/>
      </c>
      <c r="U6" s="8">
        <f>IF($A6="","",IF(T6="","",IF(T6&gt;=参数配置!$B$14,"极高",IF(T6&gt;=参数配置!$B$15,"高",IF(T6&gt;=参数配置!$B$16,"中",IF(T6&gt;=参数配置!$B$17,"低","极低"))))))</f>
        <v/>
      </c>
      <c r="V6" s="8">
        <f>IF($A6="","",IF(P6="","",ROUND(P6,0)))</f>
        <v/>
      </c>
      <c r="W6" s="8">
        <f>IF($A6="","",IF(Q6="","",ROUND(Q6,0)))</f>
        <v/>
      </c>
      <c r="X6" s="8">
        <f>IF($A6="","",IF(U6="","",IF(U6="极高","每年必审",IF(U6="高","每年审计",IF(U6="中","两年一轮","按需抽查")))))</f>
        <v/>
      </c>
      <c r="Y6" s="24">
        <f>IF($A6="","",IF(OR(Q6="",Q6=0),"",(Q6-T6)/Q6))</f>
        <v/>
      </c>
      <c r="Z6" s="22" t="inlineStr">
        <is>
          <t>上年度审计调整收入截止事项 2 项，涉及金额 120 万元</t>
        </is>
      </c>
    </row>
    <row r="7">
      <c r="A7" s="22" t="inlineStr">
        <is>
          <t>R002</t>
        </is>
      </c>
      <c r="B7" s="22" t="inlineStr">
        <is>
          <t>收入确认完整性</t>
        </is>
      </c>
      <c r="C7" s="22" t="inlineStr">
        <is>
          <t>财务报告与税务</t>
        </is>
      </c>
      <c r="D7" s="22" t="inlineStr">
        <is>
          <t>收入截止性错误或提前确认，导致财报失真</t>
        </is>
      </c>
      <c r="E7" s="22" t="inlineStr">
        <is>
          <t>财务部</t>
        </is>
      </c>
      <c r="F7" s="22" t="inlineStr">
        <is>
          <t>2026H1</t>
        </is>
      </c>
      <c r="G7" s="10" t="n">
        <v>2</v>
      </c>
      <c r="H7" s="10" t="n">
        <v>5</v>
      </c>
      <c r="I7" s="10" t="n">
        <v>4</v>
      </c>
      <c r="J7" s="10" t="n">
        <v>3</v>
      </c>
      <c r="K7" s="10" t="n">
        <v>4</v>
      </c>
      <c r="L7" s="10" t="n">
        <v>2</v>
      </c>
      <c r="M7" s="10" t="n">
        <v>3</v>
      </c>
      <c r="N7" s="10" t="n">
        <v>2</v>
      </c>
      <c r="P7" s="23">
        <f>IF($A7="","",IF(COUNT(H7:O7)=0,"",ROUND(MAX(SUMPRODUCT(H7:O7,IFERROR(VLOOKUP($C7,参数配置!$A$26:$I$38,{2,3,4,5,6,7,8,9},FALSE),VLOOKUP(参数配置!$A$26,参数配置!$A$26:$I$38,{2,3,4,5,6,7,8,9},FALSE)))/SUMPRODUCT(IFERROR(VLOOKUP($C7,参数配置!$A$26:$I$38,{2,3,4,5,6,7,8,9},FALSE),VLOOKUP(参数配置!$A$26,参数配置!$A$26:$I$38,{2,3,4,5,6,7,8,9},FALSE)),--(H7:O7&lt;&gt;"")),参数配置!$E$13*MAX(H7:O7)),2)))</f>
        <v/>
      </c>
      <c r="Q7" s="23">
        <f>IF($A7="","",IF(P7="","",ROUND(G7*P7,2)))</f>
        <v/>
      </c>
      <c r="R7" s="8">
        <f>IF($A7="","",IF(COUNTIFS(控制措施表!$B:$B,$A7,控制措施表!$C:$C,$F7,控制措施表!$F:$F,"是")=0,IF(COUNTIFS(控制措施表!$B:$B,$A7,控制措施表!$C:$C,$F7)=0,"",MINIFS(控制措施表!$E:$E,控制措施表!$B:$B,$A7,控制措施表!$C:$C,$F7)),MINIFS(控制措施表!$E:$E,控制措施表!$B:$B,$A7,控制措施表!$C:$C,$F7,控制措施表!$F:$F,"是")))</f>
        <v/>
      </c>
      <c r="S7" s="24">
        <f>IF($A7="","",IF(R7="",0,VLOOKUP(R7,参数配置!$D$4:$E$8,2,FALSE)))</f>
        <v/>
      </c>
      <c r="T7" s="23">
        <f>IF($A7="","",IF(Q7="","",ROUND(Q7*(1-S7),2)))</f>
        <v/>
      </c>
      <c r="U7" s="8">
        <f>IF($A7="","",IF(T7="","",IF(T7&gt;=参数配置!$B$14,"极高",IF(T7&gt;=参数配置!$B$15,"高",IF(T7&gt;=参数配置!$B$16,"中",IF(T7&gt;=参数配置!$B$17,"低","极低"))))))</f>
        <v/>
      </c>
      <c r="V7" s="8">
        <f>IF($A7="","",IF(P7="","",ROUND(P7,0)))</f>
        <v/>
      </c>
      <c r="W7" s="8">
        <f>IF($A7="","",IF(Q7="","",ROUND(Q7,0)))</f>
        <v/>
      </c>
      <c r="X7" s="8">
        <f>IF($A7="","",IF(U7="","",IF(U7="极高","每年必审",IF(U7="高","每年审计",IF(U7="中","两年一轮","按需抽查")))))</f>
        <v/>
      </c>
      <c r="Y7" s="24">
        <f>IF($A7="","",IF(OR(Q7="",Q7=0),"",(Q7-T7)/Q7))</f>
        <v/>
      </c>
      <c r="Z7" s="22" t="inlineStr">
        <is>
          <t>上年度审计调整收入截止事项 2 项，涉及金额 120 万元</t>
        </is>
      </c>
    </row>
    <row r="8">
      <c r="A8" s="22" t="inlineStr">
        <is>
          <t>R003</t>
        </is>
      </c>
      <c r="B8" s="22" t="inlineStr">
        <is>
          <t>资金支付越权审批</t>
        </is>
      </c>
      <c r="C8" s="22" t="inlineStr">
        <is>
          <t>资金活动</t>
        </is>
      </c>
      <c r="D8" s="22" t="inlineStr">
        <is>
          <t>超权限支付未履行集体决策程序，资金安全存在隐患</t>
        </is>
      </c>
      <c r="E8" s="22" t="inlineStr">
        <is>
          <t>财务部</t>
        </is>
      </c>
      <c r="F8" s="22" t="inlineStr">
        <is>
          <t>2025H2</t>
        </is>
      </c>
      <c r="G8" s="10" t="n">
        <v>3</v>
      </c>
      <c r="H8" s="10" t="n">
        <v>5</v>
      </c>
      <c r="I8" s="10" t="n">
        <v>5</v>
      </c>
      <c r="J8" s="10" t="n">
        <v>3</v>
      </c>
      <c r="K8" s="10" t="n">
        <v>4</v>
      </c>
      <c r="L8" s="10" t="n">
        <v>4</v>
      </c>
      <c r="M8" s="10" t="n">
        <v>2</v>
      </c>
      <c r="N8" s="10" t="n">
        <v>2</v>
      </c>
      <c r="P8" s="23">
        <f>IF($A8="","",IF(COUNT(H8:O8)=0,"",ROUND(MAX(SUMPRODUCT(H8:O8,IFERROR(VLOOKUP($C8,参数配置!$A$26:$I$38,{2,3,4,5,6,7,8,9},FALSE),VLOOKUP(参数配置!$A$26,参数配置!$A$26:$I$38,{2,3,4,5,6,7,8,9},FALSE)))/SUMPRODUCT(IFERROR(VLOOKUP($C8,参数配置!$A$26:$I$38,{2,3,4,5,6,7,8,9},FALSE),VLOOKUP(参数配置!$A$26,参数配置!$A$26:$I$38,{2,3,4,5,6,7,8,9},FALSE)),--(H8:O8&lt;&gt;"")),参数配置!$E$13*MAX(H8:O8)),2)))</f>
        <v/>
      </c>
      <c r="Q8" s="23">
        <f>IF($A8="","",IF(P8="","",ROUND(G8*P8,2)))</f>
        <v/>
      </c>
      <c r="R8" s="8">
        <f>IF($A8="","",IF(COUNTIFS(控制措施表!$B:$B,$A8,控制措施表!$C:$C,$F8,控制措施表!$F:$F,"是")=0,IF(COUNTIFS(控制措施表!$B:$B,$A8,控制措施表!$C:$C,$F8)=0,"",MINIFS(控制措施表!$E:$E,控制措施表!$B:$B,$A8,控制措施表!$C:$C,$F8)),MINIFS(控制措施表!$E:$E,控制措施表!$B:$B,$A8,控制措施表!$C:$C,$F8,控制措施表!$F:$F,"是")))</f>
        <v/>
      </c>
      <c r="S8" s="24">
        <f>IF($A8="","",IF(R8="",0,VLOOKUP(R8,参数配置!$D$4:$E$8,2,FALSE)))</f>
        <v/>
      </c>
      <c r="T8" s="23">
        <f>IF($A8="","",IF(Q8="","",ROUND(Q8*(1-S8),2)))</f>
        <v/>
      </c>
      <c r="U8" s="8">
        <f>IF($A8="","",IF(T8="","",IF(T8&gt;=参数配置!$B$14,"极高",IF(T8&gt;=参数配置!$B$15,"高",IF(T8&gt;=参数配置!$B$16,"中",IF(T8&gt;=参数配置!$B$17,"低","极低"))))))</f>
        <v/>
      </c>
      <c r="V8" s="8">
        <f>IF($A8="","",IF(P8="","",ROUND(P8,0)))</f>
        <v/>
      </c>
      <c r="W8" s="8">
        <f>IF($A8="","",IF(Q8="","",ROUND(Q8,0)))</f>
        <v/>
      </c>
      <c r="X8" s="8">
        <f>IF($A8="","",IF(U8="","",IF(U8="极高","每年必审",IF(U8="高","每年审计",IF(U8="中","两年一轮","按需抽查")))))</f>
        <v/>
      </c>
      <c r="Y8" s="24">
        <f>IF($A8="","",IF(OR(Q8="",Q8=0),"",(Q8-T8)/Q8))</f>
        <v/>
      </c>
      <c r="Z8" s="22" t="inlineStr">
        <is>
          <t>资金制度修订后未再发现越权支付；网银复核日志抽查正常</t>
        </is>
      </c>
    </row>
    <row r="9">
      <c r="A9" s="22" t="inlineStr">
        <is>
          <t>R003</t>
        </is>
      </c>
      <c r="B9" s="22" t="inlineStr">
        <is>
          <t>资金支付越权审批</t>
        </is>
      </c>
      <c r="C9" s="22" t="inlineStr">
        <is>
          <t>资金活动</t>
        </is>
      </c>
      <c r="D9" s="22" t="inlineStr">
        <is>
          <t>超权限支付未履行集体决策程序，资金安全存在隐患</t>
        </is>
      </c>
      <c r="E9" s="22" t="inlineStr">
        <is>
          <t>财务部</t>
        </is>
      </c>
      <c r="F9" s="22" t="inlineStr">
        <is>
          <t>2026H1</t>
        </is>
      </c>
      <c r="G9" s="10" t="n">
        <v>2</v>
      </c>
      <c r="H9" s="10" t="n">
        <v>5</v>
      </c>
      <c r="I9" s="10" t="n">
        <v>5</v>
      </c>
      <c r="J9" s="10" t="n">
        <v>3</v>
      </c>
      <c r="K9" s="10" t="n">
        <v>4</v>
      </c>
      <c r="L9" s="10" t="n">
        <v>4</v>
      </c>
      <c r="M9" s="10" t="n">
        <v>2</v>
      </c>
      <c r="N9" s="10" t="n">
        <v>2</v>
      </c>
      <c r="P9" s="23">
        <f>IF($A9="","",IF(COUNT(H9:O9)=0,"",ROUND(MAX(SUMPRODUCT(H9:O9,IFERROR(VLOOKUP($C9,参数配置!$A$26:$I$38,{2,3,4,5,6,7,8,9},FALSE),VLOOKUP(参数配置!$A$26,参数配置!$A$26:$I$38,{2,3,4,5,6,7,8,9},FALSE)))/SUMPRODUCT(IFERROR(VLOOKUP($C9,参数配置!$A$26:$I$38,{2,3,4,5,6,7,8,9},FALSE),VLOOKUP(参数配置!$A$26,参数配置!$A$26:$I$38,{2,3,4,5,6,7,8,9},FALSE)),--(H9:O9&lt;&gt;"")),参数配置!$E$13*MAX(H9:O9)),2)))</f>
        <v/>
      </c>
      <c r="Q9" s="23">
        <f>IF($A9="","",IF(P9="","",ROUND(G9*P9,2)))</f>
        <v/>
      </c>
      <c r="R9" s="8">
        <f>IF($A9="","",IF(COUNTIFS(控制措施表!$B:$B,$A9,控制措施表!$C:$C,$F9,控制措施表!$F:$F,"是")=0,IF(COUNTIFS(控制措施表!$B:$B,$A9,控制措施表!$C:$C,$F9)=0,"",MINIFS(控制措施表!$E:$E,控制措施表!$B:$B,$A9,控制措施表!$C:$C,$F9)),MINIFS(控制措施表!$E:$E,控制措施表!$B:$B,$A9,控制措施表!$C:$C,$F9,控制措施表!$F:$F,"是")))</f>
        <v/>
      </c>
      <c r="S9" s="24">
        <f>IF($A9="","",IF(R9="",0,VLOOKUP(R9,参数配置!$D$4:$E$8,2,FALSE)))</f>
        <v/>
      </c>
      <c r="T9" s="23">
        <f>IF($A9="","",IF(Q9="","",ROUND(Q9*(1-S9),2)))</f>
        <v/>
      </c>
      <c r="U9" s="8">
        <f>IF($A9="","",IF(T9="","",IF(T9&gt;=参数配置!$B$14,"极高",IF(T9&gt;=参数配置!$B$15,"高",IF(T9&gt;=参数配置!$B$16,"中",IF(T9&gt;=参数配置!$B$17,"低","极低"))))))</f>
        <v/>
      </c>
      <c r="V9" s="8">
        <f>IF($A9="","",IF(P9="","",ROUND(P9,0)))</f>
        <v/>
      </c>
      <c r="W9" s="8">
        <f>IF($A9="","",IF(Q9="","",ROUND(Q9,0)))</f>
        <v/>
      </c>
      <c r="X9" s="8">
        <f>IF($A9="","",IF(U9="","",IF(U9="极高","每年必审",IF(U9="高","每年审计",IF(U9="中","两年一轮","按需抽查")))))</f>
        <v/>
      </c>
      <c r="Y9" s="24">
        <f>IF($A9="","",IF(OR(Q9="",Q9=0),"",(Q9-T9)/Q9))</f>
        <v/>
      </c>
      <c r="Z9" s="22" t="inlineStr">
        <is>
          <t>资金制度修订后未再发现越权支付；网银复核日志抽查正常</t>
        </is>
      </c>
    </row>
    <row r="10">
      <c r="A10" s="22" t="inlineStr">
        <is>
          <t>R004</t>
        </is>
      </c>
      <c r="B10" s="22" t="inlineStr">
        <is>
          <t>供应商准入与围标串标</t>
        </is>
      </c>
      <c r="C10" s="22" t="inlineStr">
        <is>
          <t>采购与外包</t>
        </is>
      </c>
      <c r="D10" s="22" t="inlineStr">
        <is>
          <t>准入把关不严，关联供应商围标串标，采购价格虚高</t>
        </is>
      </c>
      <c r="E10" s="22" t="inlineStr">
        <is>
          <t>采购部</t>
        </is>
      </c>
      <c r="F10" s="22" t="inlineStr">
        <is>
          <t>2025H2</t>
        </is>
      </c>
      <c r="G10" s="10" t="n">
        <v>4</v>
      </c>
      <c r="H10" s="10" t="n">
        <v>4</v>
      </c>
      <c r="I10" s="10" t="n">
        <v>4</v>
      </c>
      <c r="J10" s="10" t="n">
        <v>3</v>
      </c>
      <c r="K10" s="10" t="n">
        <v>4</v>
      </c>
      <c r="L10" s="10" t="n">
        <v>5</v>
      </c>
      <c r="M10" s="10" t="n">
        <v>3</v>
      </c>
      <c r="N10" s="10" t="n">
        <v>1</v>
      </c>
      <c r="P10" s="23">
        <f>IF($A10="","",IF(COUNT(H10:O10)=0,"",ROUND(MAX(SUMPRODUCT(H10:O10,IFERROR(VLOOKUP($C10,参数配置!$A$26:$I$38,{2,3,4,5,6,7,8,9},FALSE),VLOOKUP(参数配置!$A$26,参数配置!$A$26:$I$38,{2,3,4,5,6,7,8,9},FALSE)))/SUMPRODUCT(IFERROR(VLOOKUP($C10,参数配置!$A$26:$I$38,{2,3,4,5,6,7,8,9},FALSE),VLOOKUP(参数配置!$A$26,参数配置!$A$26:$I$38,{2,3,4,5,6,7,8,9},FALSE)),--(H10:O10&lt;&gt;"")),参数配置!$E$13*MAX(H10:O10)),2)))</f>
        <v/>
      </c>
      <c r="Q10" s="23">
        <f>IF($A10="","",IF(P10="","",ROUND(G10*P10,2)))</f>
        <v/>
      </c>
      <c r="R10" s="8">
        <f>IF($A10="","",IF(COUNTIFS(控制措施表!$B:$B,$A10,控制措施表!$C:$C,$F10,控制措施表!$F:$F,"是")=0,IF(COUNTIFS(控制措施表!$B:$B,$A10,控制措施表!$C:$C,$F10)=0,"",MINIFS(控制措施表!$E:$E,控制措施表!$B:$B,$A10,控制措施表!$C:$C,$F10)),MINIFS(控制措施表!$E:$E,控制措施表!$B:$B,$A10,控制措施表!$C:$C,$F10,控制措施表!$F:$F,"是")))</f>
        <v/>
      </c>
      <c r="S10" s="24">
        <f>IF($A10="","",IF(R10="",0,VLOOKUP(R10,参数配置!$D$4:$E$8,2,FALSE)))</f>
        <v/>
      </c>
      <c r="T10" s="23">
        <f>IF($A10="","",IF(Q10="","",ROUND(Q10*(1-S10),2)))</f>
        <v/>
      </c>
      <c r="U10" s="8">
        <f>IF($A10="","",IF(T10="","",IF(T10&gt;=参数配置!$B$14,"极高",IF(T10&gt;=参数配置!$B$15,"高",IF(T10&gt;=参数配置!$B$16,"中",IF(T10&gt;=参数配置!$B$17,"低","极低"))))))</f>
        <v/>
      </c>
      <c r="V10" s="8">
        <f>IF($A10="","",IF(P10="","",ROUND(P10,0)))</f>
        <v/>
      </c>
      <c r="W10" s="8">
        <f>IF($A10="","",IF(Q10="","",ROUND(Q10,0)))</f>
        <v/>
      </c>
      <c r="X10" s="8">
        <f>IF($A10="","",IF(U10="","",IF(U10="极高","每年必审",IF(U10="高","每年审计",IF(U10="中","两年一轮","按需抽查")))))</f>
        <v/>
      </c>
      <c r="Y10" s="24">
        <f>IF($A10="","",IF(OR(Q10="",Q10=0),"",(Q10-T10)/Q10))</f>
        <v/>
      </c>
      <c r="Z10" s="22" t="inlineStr">
        <is>
          <t>近两年招标投诉 2 起；关联供应商筛查发现 1 家未申报关联关系</t>
        </is>
      </c>
    </row>
    <row r="11">
      <c r="A11" s="22" t="inlineStr">
        <is>
          <t>R004</t>
        </is>
      </c>
      <c r="B11" s="22" t="inlineStr">
        <is>
          <t>供应商准入与围标串标</t>
        </is>
      </c>
      <c r="C11" s="22" t="inlineStr">
        <is>
          <t>采购与外包</t>
        </is>
      </c>
      <c r="D11" s="22" t="inlineStr">
        <is>
          <t>准入把关不严，关联供应商围标串标，采购价格虚高</t>
        </is>
      </c>
      <c r="E11" s="22" t="inlineStr">
        <is>
          <t>采购部</t>
        </is>
      </c>
      <c r="F11" s="22" t="inlineStr">
        <is>
          <t>2026H1</t>
        </is>
      </c>
      <c r="G11" s="10" t="n">
        <v>4</v>
      </c>
      <c r="H11" s="10" t="n">
        <v>4</v>
      </c>
      <c r="I11" s="10" t="n">
        <v>4</v>
      </c>
      <c r="J11" s="10" t="n">
        <v>3</v>
      </c>
      <c r="K11" s="10" t="n">
        <v>3</v>
      </c>
      <c r="L11" s="10" t="n">
        <v>5</v>
      </c>
      <c r="M11" s="10" t="n">
        <v>3</v>
      </c>
      <c r="N11" s="10" t="n">
        <v>1</v>
      </c>
      <c r="P11" s="23">
        <f>IF($A11="","",IF(COUNT(H11:O11)=0,"",ROUND(MAX(SUMPRODUCT(H11:O11,IFERROR(VLOOKUP($C11,参数配置!$A$26:$I$38,{2,3,4,5,6,7,8,9},FALSE),VLOOKUP(参数配置!$A$26,参数配置!$A$26:$I$38,{2,3,4,5,6,7,8,9},FALSE)))/SUMPRODUCT(IFERROR(VLOOKUP($C11,参数配置!$A$26:$I$38,{2,3,4,5,6,7,8,9},FALSE),VLOOKUP(参数配置!$A$26,参数配置!$A$26:$I$38,{2,3,4,5,6,7,8,9},FALSE)),--(H11:O11&lt;&gt;"")),参数配置!$E$13*MAX(H11:O11)),2)))</f>
        <v/>
      </c>
      <c r="Q11" s="23">
        <f>IF($A11="","",IF(P11="","",ROUND(G11*P11,2)))</f>
        <v/>
      </c>
      <c r="R11" s="8">
        <f>IF($A11="","",IF(COUNTIFS(控制措施表!$B:$B,$A11,控制措施表!$C:$C,$F11,控制措施表!$F:$F,"是")=0,IF(COUNTIFS(控制措施表!$B:$B,$A11,控制措施表!$C:$C,$F11)=0,"",MINIFS(控制措施表!$E:$E,控制措施表!$B:$B,$A11,控制措施表!$C:$C,$F11)),MINIFS(控制措施表!$E:$E,控制措施表!$B:$B,$A11,控制措施表!$C:$C,$F11,控制措施表!$F:$F,"是")))</f>
        <v/>
      </c>
      <c r="S11" s="24">
        <f>IF($A11="","",IF(R11="",0,VLOOKUP(R11,参数配置!$D$4:$E$8,2,FALSE)))</f>
        <v/>
      </c>
      <c r="T11" s="23">
        <f>IF($A11="","",IF(Q11="","",ROUND(Q11*(1-S11),2)))</f>
        <v/>
      </c>
      <c r="U11" s="8">
        <f>IF($A11="","",IF(T11="","",IF(T11&gt;=参数配置!$B$14,"极高",IF(T11&gt;=参数配置!$B$15,"高",IF(T11&gt;=参数配置!$B$16,"中",IF(T11&gt;=参数配置!$B$17,"低","极低"))))))</f>
        <v/>
      </c>
      <c r="V11" s="8">
        <f>IF($A11="","",IF(P11="","",ROUND(P11,0)))</f>
        <v/>
      </c>
      <c r="W11" s="8">
        <f>IF($A11="","",IF(Q11="","",ROUND(Q11,0)))</f>
        <v/>
      </c>
      <c r="X11" s="8">
        <f>IF($A11="","",IF(U11="","",IF(U11="极高","每年必审",IF(U11="高","每年审计",IF(U11="中","两年一轮","按需抽查")))))</f>
        <v/>
      </c>
      <c r="Y11" s="24">
        <f>IF($A11="","",IF(OR(Q11="",Q11=0),"",(Q11-T11)/Q11))</f>
        <v/>
      </c>
      <c r="Z11" s="22" t="inlineStr">
        <is>
          <t>近两年招标投诉 2 起；关联供应商筛查发现 1 家未申报关联关系</t>
        </is>
      </c>
    </row>
    <row r="12">
      <c r="A12" s="22" t="inlineStr">
        <is>
          <t>R005</t>
        </is>
      </c>
      <c r="B12" s="22" t="inlineStr">
        <is>
          <t>合同法律审查缺位</t>
        </is>
      </c>
      <c r="C12" s="22" t="inlineStr">
        <is>
          <t>合同管理</t>
        </is>
      </c>
      <c r="D12" s="22" t="inlineStr">
        <is>
          <t>合同条款未经法务审查即签署，履约纠纷败诉风险</t>
        </is>
      </c>
      <c r="E12" s="22" t="inlineStr">
        <is>
          <t>采购部</t>
        </is>
      </c>
      <c r="F12" s="22" t="inlineStr">
        <is>
          <t>2025H2</t>
        </is>
      </c>
      <c r="G12" s="10" t="n">
        <v>3</v>
      </c>
      <c r="H12" s="10" t="n">
        <v>4</v>
      </c>
      <c r="I12" s="10" t="n">
        <v>5</v>
      </c>
      <c r="J12" s="10" t="n">
        <v>4</v>
      </c>
      <c r="K12" s="10" t="n">
        <v>4</v>
      </c>
      <c r="L12" s="10" t="n">
        <v>3</v>
      </c>
      <c r="M12" s="10" t="n">
        <v>3</v>
      </c>
      <c r="N12" s="10" t="n">
        <v>2</v>
      </c>
      <c r="P12" s="23">
        <f>IF($A12="","",IF(COUNT(H12:O12)=0,"",ROUND(MAX(SUMPRODUCT(H12:O12,IFERROR(VLOOKUP($C12,参数配置!$A$26:$I$38,{2,3,4,5,6,7,8,9},FALSE),VLOOKUP(参数配置!$A$26,参数配置!$A$26:$I$38,{2,3,4,5,6,7,8,9},FALSE)))/SUMPRODUCT(IFERROR(VLOOKUP($C12,参数配置!$A$26:$I$38,{2,3,4,5,6,7,8,9},FALSE),VLOOKUP(参数配置!$A$26,参数配置!$A$26:$I$38,{2,3,4,5,6,7,8,9},FALSE)),--(H12:O12&lt;&gt;"")),参数配置!$E$13*MAX(H12:O12)),2)))</f>
        <v/>
      </c>
      <c r="Q12" s="23">
        <f>IF($A12="","",IF(P12="","",ROUND(G12*P12,2)))</f>
        <v/>
      </c>
      <c r="R12" s="8">
        <f>IF($A12="","",IF(COUNTIFS(控制措施表!$B:$B,$A12,控制措施表!$C:$C,$F12,控制措施表!$F:$F,"是")=0,IF(COUNTIFS(控制措施表!$B:$B,$A12,控制措施表!$C:$C,$F12)=0,"",MINIFS(控制措施表!$E:$E,控制措施表!$B:$B,$A12,控制措施表!$C:$C,$F12)),MINIFS(控制措施表!$E:$E,控制措施表!$B:$B,$A12,控制措施表!$C:$C,$F12,控制措施表!$F:$F,"是")))</f>
        <v/>
      </c>
      <c r="S12" s="24">
        <f>IF($A12="","",IF(R12="",0,VLOOKUP(R12,参数配置!$D$4:$E$8,2,FALSE)))</f>
        <v/>
      </c>
      <c r="T12" s="23">
        <f>IF($A12="","",IF(Q12="","",ROUND(Q12*(1-S12),2)))</f>
        <v/>
      </c>
      <c r="U12" s="8">
        <f>IF($A12="","",IF(T12="","",IF(T12&gt;=参数配置!$B$14,"极高",IF(T12&gt;=参数配置!$B$15,"高",IF(T12&gt;=参数配置!$B$16,"中",IF(T12&gt;=参数配置!$B$17,"低","极低"))))))</f>
        <v/>
      </c>
      <c r="V12" s="8">
        <f>IF($A12="","",IF(P12="","",ROUND(P12,0)))</f>
        <v/>
      </c>
      <c r="W12" s="8">
        <f>IF($A12="","",IF(Q12="","",ROUND(Q12,0)))</f>
        <v/>
      </c>
      <c r="X12" s="8">
        <f>IF($A12="","",IF(U12="","",IF(U12="极高","每年必审",IF(U12="高","每年审计",IF(U12="中","两年一轮","按需抽查")))))</f>
        <v/>
      </c>
      <c r="Y12" s="24">
        <f>IF($A12="","",IF(OR(Q12="",Q12=0),"",(Q12-T12)/Q12))</f>
        <v/>
      </c>
      <c r="Z12" s="22" t="inlineStr">
        <is>
          <t>法律纠纷台账 2 起未决诉讼均涉合同条款缺陷</t>
        </is>
      </c>
    </row>
    <row r="13">
      <c r="A13" s="22" t="inlineStr">
        <is>
          <t>R005</t>
        </is>
      </c>
      <c r="B13" s="22" t="inlineStr">
        <is>
          <t>合同法律审查缺位</t>
        </is>
      </c>
      <c r="C13" s="22" t="inlineStr">
        <is>
          <t>合同管理</t>
        </is>
      </c>
      <c r="D13" s="22" t="inlineStr">
        <is>
          <t>合同条款未经法务审查即签署，履约纠纷败诉风险</t>
        </is>
      </c>
      <c r="E13" s="22" t="inlineStr">
        <is>
          <t>采购部</t>
        </is>
      </c>
      <c r="F13" s="22" t="inlineStr">
        <is>
          <t>2026H1</t>
        </is>
      </c>
      <c r="G13" s="10" t="n">
        <v>3</v>
      </c>
      <c r="H13" s="10" t="n">
        <v>4</v>
      </c>
      <c r="I13" s="10" t="n">
        <v>5</v>
      </c>
      <c r="J13" s="10" t="n">
        <v>4</v>
      </c>
      <c r="K13" s="10" t="n">
        <v>3</v>
      </c>
      <c r="L13" s="10" t="n">
        <v>3</v>
      </c>
      <c r="M13" s="10" t="n">
        <v>3</v>
      </c>
      <c r="N13" s="10" t="n">
        <v>2</v>
      </c>
      <c r="P13" s="23">
        <f>IF($A13="","",IF(COUNT(H13:O13)=0,"",ROUND(MAX(SUMPRODUCT(H13:O13,IFERROR(VLOOKUP($C13,参数配置!$A$26:$I$38,{2,3,4,5,6,7,8,9},FALSE),VLOOKUP(参数配置!$A$26,参数配置!$A$26:$I$38,{2,3,4,5,6,7,8,9},FALSE)))/SUMPRODUCT(IFERROR(VLOOKUP($C13,参数配置!$A$26:$I$38,{2,3,4,5,6,7,8,9},FALSE),VLOOKUP(参数配置!$A$26,参数配置!$A$26:$I$38,{2,3,4,5,6,7,8,9},FALSE)),--(H13:O13&lt;&gt;"")),参数配置!$E$13*MAX(H13:O13)),2)))</f>
        <v/>
      </c>
      <c r="Q13" s="23">
        <f>IF($A13="","",IF(P13="","",ROUND(G13*P13,2)))</f>
        <v/>
      </c>
      <c r="R13" s="8">
        <f>IF($A13="","",IF(COUNTIFS(控制措施表!$B:$B,$A13,控制措施表!$C:$C,$F13,控制措施表!$F:$F,"是")=0,IF(COUNTIFS(控制措施表!$B:$B,$A13,控制措施表!$C:$C,$F13)=0,"",MINIFS(控制措施表!$E:$E,控制措施表!$B:$B,$A13,控制措施表!$C:$C,$F13)),MINIFS(控制措施表!$E:$E,控制措施表!$B:$B,$A13,控制措施表!$C:$C,$F13,控制措施表!$F:$F,"是")))</f>
        <v/>
      </c>
      <c r="S13" s="24">
        <f>IF($A13="","",IF(R13="",0,VLOOKUP(R13,参数配置!$D$4:$E$8,2,FALSE)))</f>
        <v/>
      </c>
      <c r="T13" s="23">
        <f>IF($A13="","",IF(Q13="","",ROUND(Q13*(1-S13),2)))</f>
        <v/>
      </c>
      <c r="U13" s="8">
        <f>IF($A13="","",IF(T13="","",IF(T13&gt;=参数配置!$B$14,"极高",IF(T13&gt;=参数配置!$B$15,"高",IF(T13&gt;=参数配置!$B$16,"中",IF(T13&gt;=参数配置!$B$17,"低","极低"))))))</f>
        <v/>
      </c>
      <c r="V13" s="8">
        <f>IF($A13="","",IF(P13="","",ROUND(P13,0)))</f>
        <v/>
      </c>
      <c r="W13" s="8">
        <f>IF($A13="","",IF(Q13="","",ROUND(Q13,0)))</f>
        <v/>
      </c>
      <c r="X13" s="8">
        <f>IF($A13="","",IF(U13="","",IF(U13="极高","每年必审",IF(U13="高","每年审计",IF(U13="中","两年一轮","按需抽查")))))</f>
        <v/>
      </c>
      <c r="Y13" s="24">
        <f>IF($A13="","",IF(OR(Q13="",Q13=0),"",(Q13-T13)/Q13))</f>
        <v/>
      </c>
      <c r="Z13" s="22" t="inlineStr">
        <is>
          <t>法律纠纷台账 2 起未决诉讼均涉合同条款缺陷</t>
        </is>
      </c>
    </row>
    <row r="14">
      <c r="A14" s="22" t="inlineStr">
        <is>
          <t>R006</t>
        </is>
      </c>
      <c r="B14" s="22" t="inlineStr">
        <is>
          <t>到货验收流于形式</t>
        </is>
      </c>
      <c r="C14" s="22" t="inlineStr">
        <is>
          <t>采购与外包</t>
        </is>
      </c>
      <c r="D14" s="22" t="inlineStr">
        <is>
          <t>验收环节走过场，以次充好、数量短缺未被发现的可能</t>
        </is>
      </c>
      <c r="E14" s="22" t="inlineStr">
        <is>
          <t>采购部</t>
        </is>
      </c>
      <c r="F14" s="22" t="inlineStr">
        <is>
          <t>2025H2</t>
        </is>
      </c>
      <c r="G14" s="10" t="n">
        <v>3</v>
      </c>
      <c r="H14" s="10" t="n">
        <v>4</v>
      </c>
      <c r="I14" s="10" t="n">
        <v>3</v>
      </c>
      <c r="J14" s="10" t="n">
        <v>4</v>
      </c>
      <c r="K14" s="10" t="n">
        <v>2</v>
      </c>
      <c r="L14" s="10" t="n">
        <v>4</v>
      </c>
      <c r="M14" s="10" t="n">
        <v>1</v>
      </c>
      <c r="N14" s="10" t="n">
        <v>1</v>
      </c>
      <c r="O14" s="10" t="n">
        <v>2</v>
      </c>
      <c r="P14" s="23">
        <f>IF($A14="","",IF(COUNT(H14:O14)=0,"",ROUND(MAX(SUMPRODUCT(H14:O14,IFERROR(VLOOKUP($C14,参数配置!$A$26:$I$38,{2,3,4,5,6,7,8,9},FALSE),VLOOKUP(参数配置!$A$26,参数配置!$A$26:$I$38,{2,3,4,5,6,7,8,9},FALSE)))/SUMPRODUCT(IFERROR(VLOOKUP($C14,参数配置!$A$26:$I$38,{2,3,4,5,6,7,8,9},FALSE),VLOOKUP(参数配置!$A$26,参数配置!$A$26:$I$38,{2,3,4,5,6,7,8,9},FALSE)),--(H14:O14&lt;&gt;"")),参数配置!$E$13*MAX(H14:O14)),2)))</f>
        <v/>
      </c>
      <c r="Q14" s="23">
        <f>IF($A14="","",IF(P14="","",ROUND(G14*P14,2)))</f>
        <v/>
      </c>
      <c r="R14" s="8">
        <f>IF($A14="","",IF(COUNTIFS(控制措施表!$B:$B,$A14,控制措施表!$C:$C,$F14,控制措施表!$F:$F,"是")=0,IF(COUNTIFS(控制措施表!$B:$B,$A14,控制措施表!$C:$C,$F14)=0,"",MINIFS(控制措施表!$E:$E,控制措施表!$B:$B,$A14,控制措施表!$C:$C,$F14)),MINIFS(控制措施表!$E:$E,控制措施表!$B:$B,$A14,控制措施表!$C:$C,$F14,控制措施表!$F:$F,"是")))</f>
        <v/>
      </c>
      <c r="S14" s="24">
        <f>IF($A14="","",IF(R14="",0,VLOOKUP(R14,参数配置!$D$4:$E$8,2,FALSE)))</f>
        <v/>
      </c>
      <c r="T14" s="23">
        <f>IF($A14="","",IF(Q14="","",ROUND(Q14*(1-S14),2)))</f>
        <v/>
      </c>
      <c r="U14" s="8">
        <f>IF($A14="","",IF(T14="","",IF(T14&gt;=参数配置!$B$14,"极高",IF(T14&gt;=参数配置!$B$15,"高",IF(T14&gt;=参数配置!$B$16,"中",IF(T14&gt;=参数配置!$B$17,"低","极低"))))))</f>
        <v/>
      </c>
      <c r="V14" s="8">
        <f>IF($A14="","",IF(P14="","",ROUND(P14,0)))</f>
        <v/>
      </c>
      <c r="W14" s="8">
        <f>IF($A14="","",IF(Q14="","",ROUND(Q14,0)))</f>
        <v/>
      </c>
      <c r="X14" s="8">
        <f>IF($A14="","",IF(U14="","",IF(U14="极高","每年必审",IF(U14="高","每年审计",IF(U14="中","两年一轮","按需抽查")))))</f>
        <v/>
      </c>
      <c r="Y14" s="24">
        <f>IF($A14="","",IF(OR(Q14="",Q14=0),"",(Q14-T14)/Q14))</f>
        <v/>
      </c>
      <c r="Z14" s="22" t="inlineStr">
        <is>
          <t>仓库验收单抽查 20% 缺少影像附件</t>
        </is>
      </c>
    </row>
    <row r="15">
      <c r="A15" s="22" t="inlineStr">
        <is>
          <t>R006</t>
        </is>
      </c>
      <c r="B15" s="22" t="inlineStr">
        <is>
          <t>到货验收流于形式</t>
        </is>
      </c>
      <c r="C15" s="22" t="inlineStr">
        <is>
          <t>采购与外包</t>
        </is>
      </c>
      <c r="D15" s="22" t="inlineStr">
        <is>
          <t>验收环节走过场，以次充好、数量短缺未被发现的可能</t>
        </is>
      </c>
      <c r="E15" s="22" t="inlineStr">
        <is>
          <t>采购部</t>
        </is>
      </c>
      <c r="F15" s="22" t="inlineStr">
        <is>
          <t>2026H1</t>
        </is>
      </c>
      <c r="G15" s="10" t="n">
        <v>3</v>
      </c>
      <c r="H15" s="10" t="n">
        <v>4</v>
      </c>
      <c r="I15" s="10" t="n">
        <v>3</v>
      </c>
      <c r="J15" s="10" t="n">
        <v>4</v>
      </c>
      <c r="K15" s="10" t="n">
        <v>2</v>
      </c>
      <c r="L15" s="10" t="n">
        <v>3</v>
      </c>
      <c r="M15" s="10" t="n">
        <v>1</v>
      </c>
      <c r="N15" s="10" t="n">
        <v>1</v>
      </c>
      <c r="O15" s="10" t="n">
        <v>2</v>
      </c>
      <c r="P15" s="23">
        <f>IF($A15="","",IF(COUNT(H15:O15)=0,"",ROUND(MAX(SUMPRODUCT(H15:O15,IFERROR(VLOOKUP($C15,参数配置!$A$26:$I$38,{2,3,4,5,6,7,8,9},FALSE),VLOOKUP(参数配置!$A$26,参数配置!$A$26:$I$38,{2,3,4,5,6,7,8,9},FALSE)))/SUMPRODUCT(IFERROR(VLOOKUP($C15,参数配置!$A$26:$I$38,{2,3,4,5,6,7,8,9},FALSE),VLOOKUP(参数配置!$A$26,参数配置!$A$26:$I$38,{2,3,4,5,6,7,8,9},FALSE)),--(H15:O15&lt;&gt;"")),参数配置!$E$13*MAX(H15:O15)),2)))</f>
        <v/>
      </c>
      <c r="Q15" s="23">
        <f>IF($A15="","",IF(P15="","",ROUND(G15*P15,2)))</f>
        <v/>
      </c>
      <c r="R15" s="8">
        <f>IF($A15="","",IF(COUNTIFS(控制措施表!$B:$B,$A15,控制措施表!$C:$C,$F15,控制措施表!$F:$F,"是")=0,IF(COUNTIFS(控制措施表!$B:$B,$A15,控制措施表!$C:$C,$F15)=0,"",MINIFS(控制措施表!$E:$E,控制措施表!$B:$B,$A15,控制措施表!$C:$C,$F15)),MINIFS(控制措施表!$E:$E,控制措施表!$B:$B,$A15,控制措施表!$C:$C,$F15,控制措施表!$F:$F,"是")))</f>
        <v/>
      </c>
      <c r="S15" s="24">
        <f>IF($A15="","",IF(R15="",0,VLOOKUP(R15,参数配置!$D$4:$E$8,2,FALSE)))</f>
        <v/>
      </c>
      <c r="T15" s="23">
        <f>IF($A15="","",IF(Q15="","",ROUND(Q15*(1-S15),2)))</f>
        <v/>
      </c>
      <c r="U15" s="8">
        <f>IF($A15="","",IF(T15="","",IF(T15&gt;=参数配置!$B$14,"极高",IF(T15&gt;=参数配置!$B$15,"高",IF(T15&gt;=参数配置!$B$16,"中",IF(T15&gt;=参数配置!$B$17,"低","极低"))))))</f>
        <v/>
      </c>
      <c r="V15" s="8">
        <f>IF($A15="","",IF(P15="","",ROUND(P15,0)))</f>
        <v/>
      </c>
      <c r="W15" s="8">
        <f>IF($A15="","",IF(Q15="","",ROUND(Q15,0)))</f>
        <v/>
      </c>
      <c r="X15" s="8">
        <f>IF($A15="","",IF(U15="","",IF(U15="极高","每年必审",IF(U15="高","每年审计",IF(U15="中","两年一轮","按需抽查")))))</f>
        <v/>
      </c>
      <c r="Y15" s="24">
        <f>IF($A15="","",IF(OR(Q15="",Q15=0),"",(Q15-T15)/Q15))</f>
        <v/>
      </c>
      <c r="Z15" s="22" t="inlineStr">
        <is>
          <t>仓库验收单抽查 20% 缺少影像附件</t>
        </is>
      </c>
    </row>
    <row r="16">
      <c r="A16" s="22" t="inlineStr">
        <is>
          <t>R007</t>
        </is>
      </c>
      <c r="B16" s="22" t="inlineStr">
        <is>
          <t>工程造价失控</t>
        </is>
      </c>
      <c r="C16" s="22" t="inlineStr">
        <is>
          <t>工程项目</t>
        </is>
      </c>
      <c r="D16" s="22" t="inlineStr">
        <is>
          <t>设计变更与现场签证频繁，工程概算超支</t>
        </is>
      </c>
      <c r="E16" s="22" t="inlineStr">
        <is>
          <t>工程部</t>
        </is>
      </c>
      <c r="F16" s="22" t="inlineStr">
        <is>
          <t>2025H2</t>
        </is>
      </c>
      <c r="G16" s="10" t="n">
        <v>4</v>
      </c>
      <c r="H16" s="10" t="n">
        <v>5</v>
      </c>
      <c r="I16" s="10" t="n">
        <v>3</v>
      </c>
      <c r="J16" s="10" t="n">
        <v>4</v>
      </c>
      <c r="K16" s="10" t="n">
        <v>4</v>
      </c>
      <c r="L16" s="10" t="n">
        <v>3</v>
      </c>
      <c r="M16" s="10" t="n">
        <v>4</v>
      </c>
      <c r="N16" s="10" t="n">
        <v>1</v>
      </c>
      <c r="O16" s="10" t="n">
        <v>3</v>
      </c>
      <c r="P16" s="23">
        <f>IF($A16="","",IF(COUNT(H16:O16)=0,"",ROUND(MAX(SUMPRODUCT(H16:O16,IFERROR(VLOOKUP($C16,参数配置!$A$26:$I$38,{2,3,4,5,6,7,8,9},FALSE),VLOOKUP(参数配置!$A$26,参数配置!$A$26:$I$38,{2,3,4,5,6,7,8,9},FALSE)))/SUMPRODUCT(IFERROR(VLOOKUP($C16,参数配置!$A$26:$I$38,{2,3,4,5,6,7,8,9},FALSE),VLOOKUP(参数配置!$A$26,参数配置!$A$26:$I$38,{2,3,4,5,6,7,8,9},FALSE)),--(H16:O16&lt;&gt;"")),参数配置!$E$13*MAX(H16:O16)),2)))</f>
        <v/>
      </c>
      <c r="Q16" s="23">
        <f>IF($A16="","",IF(P16="","",ROUND(G16*P16,2)))</f>
        <v/>
      </c>
      <c r="R16" s="8">
        <f>IF($A16="","",IF(COUNTIFS(控制措施表!$B:$B,$A16,控制措施表!$C:$C,$F16,控制措施表!$F:$F,"是")=0,IF(COUNTIFS(控制措施表!$B:$B,$A16,控制措施表!$C:$C,$F16)=0,"",MINIFS(控制措施表!$E:$E,控制措施表!$B:$B,$A16,控制措施表!$C:$C,$F16)),MINIFS(控制措施表!$E:$E,控制措施表!$B:$B,$A16,控制措施表!$C:$C,$F16,控制措施表!$F:$F,"是")))</f>
        <v/>
      </c>
      <c r="S16" s="24">
        <f>IF($A16="","",IF(R16="",0,VLOOKUP(R16,参数配置!$D$4:$E$8,2,FALSE)))</f>
        <v/>
      </c>
      <c r="T16" s="23">
        <f>IF($A16="","",IF(Q16="","",ROUND(Q16*(1-S16),2)))</f>
        <v/>
      </c>
      <c r="U16" s="8">
        <f>IF($A16="","",IF(T16="","",IF(T16&gt;=参数配置!$B$14,"极高",IF(T16&gt;=参数配置!$B$15,"高",IF(T16&gt;=参数配置!$B$16,"中",IF(T16&gt;=参数配置!$B$17,"低","极低"))))))</f>
        <v/>
      </c>
      <c r="V16" s="8">
        <f>IF($A16="","",IF(P16="","",ROUND(P16,0)))</f>
        <v/>
      </c>
      <c r="W16" s="8">
        <f>IF($A16="","",IF(Q16="","",ROUND(Q16,0)))</f>
        <v/>
      </c>
      <c r="X16" s="8">
        <f>IF($A16="","",IF(U16="","",IF(U16="极高","每年必审",IF(U16="高","每年审计",IF(U16="中","两年一轮","按需抽查")))))</f>
        <v/>
      </c>
      <c r="Y16" s="24">
        <f>IF($A16="","",IF(OR(Q16="",Q16=0),"",(Q16-T16)/Q16))</f>
        <v/>
      </c>
      <c r="Z16" s="22" t="inlineStr">
        <is>
          <t>在建项目概算执行率 108%，设计变更签证 47 项</t>
        </is>
      </c>
    </row>
    <row r="17">
      <c r="A17" s="22" t="inlineStr">
        <is>
          <t>R007</t>
        </is>
      </c>
      <c r="B17" s="22" t="inlineStr">
        <is>
          <t>工程造价失控</t>
        </is>
      </c>
      <c r="C17" s="22" t="inlineStr">
        <is>
          <t>工程项目</t>
        </is>
      </c>
      <c r="D17" s="22" t="inlineStr">
        <is>
          <t>设计变更与现场签证频繁，工程概算超支</t>
        </is>
      </c>
      <c r="E17" s="22" t="inlineStr">
        <is>
          <t>工程部</t>
        </is>
      </c>
      <c r="F17" s="22" t="inlineStr">
        <is>
          <t>2026H1</t>
        </is>
      </c>
      <c r="G17" s="10" t="n">
        <v>4</v>
      </c>
      <c r="H17" s="10" t="n">
        <v>5</v>
      </c>
      <c r="I17" s="10" t="n">
        <v>3</v>
      </c>
      <c r="J17" s="10" t="n">
        <v>3</v>
      </c>
      <c r="K17" s="10" t="n">
        <v>4</v>
      </c>
      <c r="L17" s="10" t="n">
        <v>3</v>
      </c>
      <c r="M17" s="10" t="n">
        <v>4</v>
      </c>
      <c r="N17" s="10" t="n">
        <v>1</v>
      </c>
      <c r="O17" s="10" t="n">
        <v>3</v>
      </c>
      <c r="P17" s="23">
        <f>IF($A17="","",IF(COUNT(H17:O17)=0,"",ROUND(MAX(SUMPRODUCT(H17:O17,IFERROR(VLOOKUP($C17,参数配置!$A$26:$I$38,{2,3,4,5,6,7,8,9},FALSE),VLOOKUP(参数配置!$A$26,参数配置!$A$26:$I$38,{2,3,4,5,6,7,8,9},FALSE)))/SUMPRODUCT(IFERROR(VLOOKUP($C17,参数配置!$A$26:$I$38,{2,3,4,5,6,7,8,9},FALSE),VLOOKUP(参数配置!$A$26,参数配置!$A$26:$I$38,{2,3,4,5,6,7,8,9},FALSE)),--(H17:O17&lt;&gt;"")),参数配置!$E$13*MAX(H17:O17)),2)))</f>
        <v/>
      </c>
      <c r="Q17" s="23">
        <f>IF($A17="","",IF(P17="","",ROUND(G17*P17,2)))</f>
        <v/>
      </c>
      <c r="R17" s="8">
        <f>IF($A17="","",IF(COUNTIFS(控制措施表!$B:$B,$A17,控制措施表!$C:$C,$F17,控制措施表!$F:$F,"是")=0,IF(COUNTIFS(控制措施表!$B:$B,$A17,控制措施表!$C:$C,$F17)=0,"",MINIFS(控制措施表!$E:$E,控制措施表!$B:$B,$A17,控制措施表!$C:$C,$F17)),MINIFS(控制措施表!$E:$E,控制措施表!$B:$B,$A17,控制措施表!$C:$C,$F17,控制措施表!$F:$F,"是")))</f>
        <v/>
      </c>
      <c r="S17" s="24">
        <f>IF($A17="","",IF(R17="",0,VLOOKUP(R17,参数配置!$D$4:$E$8,2,FALSE)))</f>
        <v/>
      </c>
      <c r="T17" s="23">
        <f>IF($A17="","",IF(Q17="","",ROUND(Q17*(1-S17),2)))</f>
        <v/>
      </c>
      <c r="U17" s="8">
        <f>IF($A17="","",IF(T17="","",IF(T17&gt;=参数配置!$B$14,"极高",IF(T17&gt;=参数配置!$B$15,"高",IF(T17&gt;=参数配置!$B$16,"中",IF(T17&gt;=参数配置!$B$17,"低","极低"))))))</f>
        <v/>
      </c>
      <c r="V17" s="8">
        <f>IF($A17="","",IF(P17="","",ROUND(P17,0)))</f>
        <v/>
      </c>
      <c r="W17" s="8">
        <f>IF($A17="","",IF(Q17="","",ROUND(Q17,0)))</f>
        <v/>
      </c>
      <c r="X17" s="8">
        <f>IF($A17="","",IF(U17="","",IF(U17="极高","每年必审",IF(U17="高","每年审计",IF(U17="中","两年一轮","按需抽查")))))</f>
        <v/>
      </c>
      <c r="Y17" s="24">
        <f>IF($A17="","",IF(OR(Q17="",Q17=0),"",(Q17-T17)/Q17))</f>
        <v/>
      </c>
      <c r="Z17" s="22" t="inlineStr">
        <is>
          <t>在建项目概算执行率 108%，设计变更签证 47 项</t>
        </is>
      </c>
    </row>
    <row r="18">
      <c r="A18" s="22" t="inlineStr">
        <is>
          <t>R008</t>
        </is>
      </c>
      <c r="B18" s="22" t="inlineStr">
        <is>
          <t>施工安全环保隐患</t>
        </is>
      </c>
      <c r="C18" s="22" t="inlineStr">
        <is>
          <t>安全环保</t>
        </is>
      </c>
      <c r="D18" s="22" t="inlineStr">
        <is>
          <t>高危作业管理不到位，存在安全事故与环保处罚风险</t>
        </is>
      </c>
      <c r="E18" s="22" t="inlineStr">
        <is>
          <t>安监部</t>
        </is>
      </c>
      <c r="F18" s="22" t="inlineStr">
        <is>
          <t>2025H2</t>
        </is>
      </c>
      <c r="G18" s="10" t="n">
        <v>3</v>
      </c>
      <c r="H18" s="10" t="n">
        <v>4</v>
      </c>
      <c r="I18" s="10" t="n">
        <v>5</v>
      </c>
      <c r="J18" s="10" t="n">
        <v>5</v>
      </c>
      <c r="K18" s="10" t="n">
        <v>5</v>
      </c>
      <c r="L18" s="10" t="n">
        <v>1</v>
      </c>
      <c r="M18" s="10" t="n">
        <v>3</v>
      </c>
      <c r="N18" s="10" t="n">
        <v>1</v>
      </c>
      <c r="O18" s="10" t="n">
        <v>5</v>
      </c>
      <c r="P18" s="23">
        <f>IF($A18="","",IF(COUNT(H18:O18)=0,"",ROUND(MAX(SUMPRODUCT(H18:O18,IFERROR(VLOOKUP($C18,参数配置!$A$26:$I$38,{2,3,4,5,6,7,8,9},FALSE),VLOOKUP(参数配置!$A$26,参数配置!$A$26:$I$38,{2,3,4,5,6,7,8,9},FALSE)))/SUMPRODUCT(IFERROR(VLOOKUP($C18,参数配置!$A$26:$I$38,{2,3,4,5,6,7,8,9},FALSE),VLOOKUP(参数配置!$A$26,参数配置!$A$26:$I$38,{2,3,4,5,6,7,8,9},FALSE)),--(H18:O18&lt;&gt;"")),参数配置!$E$13*MAX(H18:O18)),2)))</f>
        <v/>
      </c>
      <c r="Q18" s="23">
        <f>IF($A18="","",IF(P18="","",ROUND(G18*P18,2)))</f>
        <v/>
      </c>
      <c r="R18" s="8">
        <f>IF($A18="","",IF(COUNTIFS(控制措施表!$B:$B,$A18,控制措施表!$C:$C,$F18,控制措施表!$F:$F,"是")=0,IF(COUNTIFS(控制措施表!$B:$B,$A18,控制措施表!$C:$C,$F18)=0,"",MINIFS(控制措施表!$E:$E,控制措施表!$B:$B,$A18,控制措施表!$C:$C,$F18)),MINIFS(控制措施表!$E:$E,控制措施表!$B:$B,$A18,控制措施表!$C:$C,$F18,控制措施表!$F:$F,"是")))</f>
        <v/>
      </c>
      <c r="S18" s="24">
        <f>IF($A18="","",IF(R18="",0,VLOOKUP(R18,参数配置!$D$4:$E$8,2,FALSE)))</f>
        <v/>
      </c>
      <c r="T18" s="23">
        <f>IF($A18="","",IF(Q18="","",ROUND(Q18*(1-S18),2)))</f>
        <v/>
      </c>
      <c r="U18" s="8">
        <f>IF($A18="","",IF(T18="","",IF(T18&gt;=参数配置!$B$14,"极高",IF(T18&gt;=参数配置!$B$15,"高",IF(T18&gt;=参数配置!$B$16,"中",IF(T18&gt;=参数配置!$B$17,"低","极低"))))))</f>
        <v/>
      </c>
      <c r="V18" s="8">
        <f>IF($A18="","",IF(P18="","",ROUND(P18,0)))</f>
        <v/>
      </c>
      <c r="W18" s="8">
        <f>IF($A18="","",IF(Q18="","",ROUND(Q18,0)))</f>
        <v/>
      </c>
      <c r="X18" s="8">
        <f>IF($A18="","",IF(U18="","",IF(U18="极高","每年必审",IF(U18="高","每年审计",IF(U18="中","两年一轮","按需抽查")))))</f>
        <v/>
      </c>
      <c r="Y18" s="24">
        <f>IF($A18="","",IF(OR(Q18="",Q18=0),"",(Q18-T18)/Q18))</f>
        <v/>
      </c>
      <c r="Z18" s="22" t="inlineStr">
        <is>
          <t>本年度安监通报 1 起未遂事故；特种作业持证率 100%</t>
        </is>
      </c>
    </row>
    <row r="19">
      <c r="A19" s="22" t="inlineStr">
        <is>
          <t>R008</t>
        </is>
      </c>
      <c r="B19" s="22" t="inlineStr">
        <is>
          <t>施工安全环保隐患</t>
        </is>
      </c>
      <c r="C19" s="22" t="inlineStr">
        <is>
          <t>安全环保</t>
        </is>
      </c>
      <c r="D19" s="22" t="inlineStr">
        <is>
          <t>高危作业管理不到位，存在安全事故与环保处罚风险</t>
        </is>
      </c>
      <c r="E19" s="22" t="inlineStr">
        <is>
          <t>安监部</t>
        </is>
      </c>
      <c r="F19" s="22" t="inlineStr">
        <is>
          <t>2026H1</t>
        </is>
      </c>
      <c r="G19" s="10" t="n">
        <v>2</v>
      </c>
      <c r="H19" s="10" t="n">
        <v>4</v>
      </c>
      <c r="I19" s="10" t="n">
        <v>5</v>
      </c>
      <c r="J19" s="10" t="n">
        <v>5</v>
      </c>
      <c r="K19" s="10" t="n">
        <v>5</v>
      </c>
      <c r="L19" s="10" t="n">
        <v>1</v>
      </c>
      <c r="M19" s="10" t="n">
        <v>3</v>
      </c>
      <c r="N19" s="10" t="n">
        <v>1</v>
      </c>
      <c r="O19" s="10" t="n">
        <v>5</v>
      </c>
      <c r="P19" s="23">
        <f>IF($A19="","",IF(COUNT(H19:O19)=0,"",ROUND(MAX(SUMPRODUCT(H19:O19,IFERROR(VLOOKUP($C19,参数配置!$A$26:$I$38,{2,3,4,5,6,7,8,9},FALSE),VLOOKUP(参数配置!$A$26,参数配置!$A$26:$I$38,{2,3,4,5,6,7,8,9},FALSE)))/SUMPRODUCT(IFERROR(VLOOKUP($C19,参数配置!$A$26:$I$38,{2,3,4,5,6,7,8,9},FALSE),VLOOKUP(参数配置!$A$26,参数配置!$A$26:$I$38,{2,3,4,5,6,7,8,9},FALSE)),--(H19:O19&lt;&gt;"")),参数配置!$E$13*MAX(H19:O19)),2)))</f>
        <v/>
      </c>
      <c r="Q19" s="23">
        <f>IF($A19="","",IF(P19="","",ROUND(G19*P19,2)))</f>
        <v/>
      </c>
      <c r="R19" s="8">
        <f>IF($A19="","",IF(COUNTIFS(控制措施表!$B:$B,$A19,控制措施表!$C:$C,$F19,控制措施表!$F:$F,"是")=0,IF(COUNTIFS(控制措施表!$B:$B,$A19,控制措施表!$C:$C,$F19)=0,"",MINIFS(控制措施表!$E:$E,控制措施表!$B:$B,$A19,控制措施表!$C:$C,$F19)),MINIFS(控制措施表!$E:$E,控制措施表!$B:$B,$A19,控制措施表!$C:$C,$F19,控制措施表!$F:$F,"是")))</f>
        <v/>
      </c>
      <c r="S19" s="24">
        <f>IF($A19="","",IF(R19="",0,VLOOKUP(R19,参数配置!$D$4:$E$8,2,FALSE)))</f>
        <v/>
      </c>
      <c r="T19" s="23">
        <f>IF($A19="","",IF(Q19="","",ROUND(Q19*(1-S19),2)))</f>
        <v/>
      </c>
      <c r="U19" s="8">
        <f>IF($A19="","",IF(T19="","",IF(T19&gt;=参数配置!$B$14,"极高",IF(T19&gt;=参数配置!$B$15,"高",IF(T19&gt;=参数配置!$B$16,"中",IF(T19&gt;=参数配置!$B$17,"低","极低"))))))</f>
        <v/>
      </c>
      <c r="V19" s="8">
        <f>IF($A19="","",IF(P19="","",ROUND(P19,0)))</f>
        <v/>
      </c>
      <c r="W19" s="8">
        <f>IF($A19="","",IF(Q19="","",ROUND(Q19,0)))</f>
        <v/>
      </c>
      <c r="X19" s="8">
        <f>IF($A19="","",IF(U19="","",IF(U19="极高","每年必审",IF(U19="高","每年审计",IF(U19="中","两年一轮","按需抽查")))))</f>
        <v/>
      </c>
      <c r="Y19" s="24">
        <f>IF($A19="","",IF(OR(Q19="",Q19=0),"",(Q19-T19)/Q19))</f>
        <v/>
      </c>
      <c r="Z19" s="22" t="inlineStr">
        <is>
          <t>本年度安监通报 1 起未遂事故；特种作业持证率 100%</t>
        </is>
      </c>
    </row>
    <row r="20">
      <c r="A20" s="22" t="inlineStr">
        <is>
          <t>R009</t>
        </is>
      </c>
      <c r="B20" s="22" t="inlineStr">
        <is>
          <t>竣工结算滞后超付</t>
        </is>
      </c>
      <c r="C20" s="22" t="inlineStr">
        <is>
          <t>工程项目</t>
        </is>
      </c>
      <c r="D20" s="22" t="inlineStr">
        <is>
          <t>竣工结算审计拖期，进度款超付事后追讨困难</t>
        </is>
      </c>
      <c r="E20" s="22" t="inlineStr">
        <is>
          <t>工程部</t>
        </is>
      </c>
      <c r="F20" s="22" t="inlineStr">
        <is>
          <t>2025H2</t>
        </is>
      </c>
      <c r="G20" s="10" t="n">
        <v>3</v>
      </c>
      <c r="H20" s="10" t="n">
        <v>4</v>
      </c>
      <c r="I20" s="10" t="n">
        <v>3</v>
      </c>
      <c r="J20" s="10" t="n">
        <v>3</v>
      </c>
      <c r="K20" s="10" t="n">
        <v>3</v>
      </c>
      <c r="L20" s="10" t="n">
        <v>3</v>
      </c>
      <c r="M20" s="10" t="n">
        <v>2</v>
      </c>
      <c r="N20" s="10" t="n">
        <v>1</v>
      </c>
      <c r="P20" s="23">
        <f>IF($A20="","",IF(COUNT(H20:O20)=0,"",ROUND(MAX(SUMPRODUCT(H20:O20,IFERROR(VLOOKUP($C20,参数配置!$A$26:$I$38,{2,3,4,5,6,7,8,9},FALSE),VLOOKUP(参数配置!$A$26,参数配置!$A$26:$I$38,{2,3,4,5,6,7,8,9},FALSE)))/SUMPRODUCT(IFERROR(VLOOKUP($C20,参数配置!$A$26:$I$38,{2,3,4,5,6,7,8,9},FALSE),VLOOKUP(参数配置!$A$26,参数配置!$A$26:$I$38,{2,3,4,5,6,7,8,9},FALSE)),--(H20:O20&lt;&gt;"")),参数配置!$E$13*MAX(H20:O20)),2)))</f>
        <v/>
      </c>
      <c r="Q20" s="23">
        <f>IF($A20="","",IF(P20="","",ROUND(G20*P20,2)))</f>
        <v/>
      </c>
      <c r="R20" s="8">
        <f>IF($A20="","",IF(COUNTIFS(控制措施表!$B:$B,$A20,控制措施表!$C:$C,$F20,控制措施表!$F:$F,"是")=0,IF(COUNTIFS(控制措施表!$B:$B,$A20,控制措施表!$C:$C,$F20)=0,"",MINIFS(控制措施表!$E:$E,控制措施表!$B:$B,$A20,控制措施表!$C:$C,$F20)),MINIFS(控制措施表!$E:$E,控制措施表!$B:$B,$A20,控制措施表!$C:$C,$F20,控制措施表!$F:$F,"是")))</f>
        <v/>
      </c>
      <c r="S20" s="24">
        <f>IF($A20="","",IF(R20="",0,VLOOKUP(R20,参数配置!$D$4:$E$8,2,FALSE)))</f>
        <v/>
      </c>
      <c r="T20" s="23">
        <f>IF($A20="","",IF(Q20="","",ROUND(Q20*(1-S20),2)))</f>
        <v/>
      </c>
      <c r="U20" s="8">
        <f>IF($A20="","",IF(T20="","",IF(T20&gt;=参数配置!$B$14,"极高",IF(T20&gt;=参数配置!$B$15,"高",IF(T20&gt;=参数配置!$B$16,"中",IF(T20&gt;=参数配置!$B$17,"低","极低"))))))</f>
        <v/>
      </c>
      <c r="V20" s="8">
        <f>IF($A20="","",IF(P20="","",ROUND(P20,0)))</f>
        <v/>
      </c>
      <c r="W20" s="8">
        <f>IF($A20="","",IF(Q20="","",ROUND(Q20,0)))</f>
        <v/>
      </c>
      <c r="X20" s="8">
        <f>IF($A20="","",IF(U20="","",IF(U20="极高","每年必审",IF(U20="高","每年审计",IF(U20="中","两年一轮","按需抽查")))))</f>
        <v/>
      </c>
      <c r="Y20" s="24">
        <f>IF($A20="","",IF(OR(Q20="",Q20=0),"",(Q20-T20)/Q20))</f>
        <v/>
      </c>
      <c r="Z20" s="22" t="inlineStr">
        <is>
          <t>两个竣工项目结算超期 6 个月以上，暂估挂账 860 万元</t>
        </is>
      </c>
    </row>
    <row r="21">
      <c r="A21" s="22" t="inlineStr">
        <is>
          <t>R009</t>
        </is>
      </c>
      <c r="B21" s="22" t="inlineStr">
        <is>
          <t>竣工结算滞后超付</t>
        </is>
      </c>
      <c r="C21" s="22" t="inlineStr">
        <is>
          <t>工程项目</t>
        </is>
      </c>
      <c r="D21" s="22" t="inlineStr">
        <is>
          <t>竣工结算审计拖期，进度款超付事后追讨困难</t>
        </is>
      </c>
      <c r="E21" s="22" t="inlineStr">
        <is>
          <t>工程部</t>
        </is>
      </c>
      <c r="F21" s="22" t="inlineStr">
        <is>
          <t>2026H1</t>
        </is>
      </c>
      <c r="G21" s="10" t="n">
        <v>3</v>
      </c>
      <c r="H21" s="10" t="n">
        <v>4</v>
      </c>
      <c r="I21" s="10" t="n">
        <v>3</v>
      </c>
      <c r="J21" s="10" t="n">
        <v>3</v>
      </c>
      <c r="K21" s="10" t="n">
        <v>2</v>
      </c>
      <c r="L21" s="10" t="n">
        <v>3</v>
      </c>
      <c r="M21" s="10" t="n">
        <v>2</v>
      </c>
      <c r="N21" s="10" t="n">
        <v>1</v>
      </c>
      <c r="P21" s="23">
        <f>IF($A21="","",IF(COUNT(H21:O21)=0,"",ROUND(MAX(SUMPRODUCT(H21:O21,IFERROR(VLOOKUP($C21,参数配置!$A$26:$I$38,{2,3,4,5,6,7,8,9},FALSE),VLOOKUP(参数配置!$A$26,参数配置!$A$26:$I$38,{2,3,4,5,6,7,8,9},FALSE)))/SUMPRODUCT(IFERROR(VLOOKUP($C21,参数配置!$A$26:$I$38,{2,3,4,5,6,7,8,9},FALSE),VLOOKUP(参数配置!$A$26,参数配置!$A$26:$I$38,{2,3,4,5,6,7,8,9},FALSE)),--(H21:O21&lt;&gt;"")),参数配置!$E$13*MAX(H21:O21)),2)))</f>
        <v/>
      </c>
      <c r="Q21" s="23">
        <f>IF($A21="","",IF(P21="","",ROUND(G21*P21,2)))</f>
        <v/>
      </c>
      <c r="R21" s="8">
        <f>IF($A21="","",IF(COUNTIFS(控制措施表!$B:$B,$A21,控制措施表!$C:$C,$F21,控制措施表!$F:$F,"是")=0,IF(COUNTIFS(控制措施表!$B:$B,$A21,控制措施表!$C:$C,$F21)=0,"",MINIFS(控制措施表!$E:$E,控制措施表!$B:$B,$A21,控制措施表!$C:$C,$F21)),MINIFS(控制措施表!$E:$E,控制措施表!$B:$B,$A21,控制措施表!$C:$C,$F21,控制措施表!$F:$F,"是")))</f>
        <v/>
      </c>
      <c r="S21" s="24">
        <f>IF($A21="","",IF(R21="",0,VLOOKUP(R21,参数配置!$D$4:$E$8,2,FALSE)))</f>
        <v/>
      </c>
      <c r="T21" s="23">
        <f>IF($A21="","",IF(Q21="","",ROUND(Q21*(1-S21),2)))</f>
        <v/>
      </c>
      <c r="U21" s="8">
        <f>IF($A21="","",IF(T21="","",IF(T21&gt;=参数配置!$B$14,"极高",IF(T21&gt;=参数配置!$B$15,"高",IF(T21&gt;=参数配置!$B$16,"中",IF(T21&gt;=参数配置!$B$17,"低","极低"))))))</f>
        <v/>
      </c>
      <c r="V21" s="8">
        <f>IF($A21="","",IF(P21="","",ROUND(P21,0)))</f>
        <v/>
      </c>
      <c r="W21" s="8">
        <f>IF($A21="","",IF(Q21="","",ROUND(Q21,0)))</f>
        <v/>
      </c>
      <c r="X21" s="8">
        <f>IF($A21="","",IF(U21="","",IF(U21="极高","每年必审",IF(U21="高","每年审计",IF(U21="中","两年一轮","按需抽查")))))</f>
        <v/>
      </c>
      <c r="Y21" s="24">
        <f>IF($A21="","",IF(OR(Q21="",Q21=0),"",(Q21-T21)/Q21))</f>
        <v/>
      </c>
      <c r="Z21" s="22" t="inlineStr">
        <is>
          <t>两个竣工项目结算超期 6 个月以上，暂估挂账 860 万元</t>
        </is>
      </c>
    </row>
    <row r="22">
      <c r="A22" s="22" t="inlineStr">
        <is>
          <t>R010</t>
        </is>
      </c>
      <c r="B22" s="22" t="inlineStr">
        <is>
          <t>核心系统权限失控</t>
        </is>
      </c>
      <c r="C22" s="22" t="inlineStr">
        <is>
          <t>信息系统</t>
        </is>
      </c>
      <c r="D22" s="22" t="inlineStr">
        <is>
          <t>账号权限职责分离失效，关键业务数据可被篡改</t>
        </is>
      </c>
      <c r="E22" s="22" t="inlineStr">
        <is>
          <t>信息中心</t>
        </is>
      </c>
      <c r="F22" s="22" t="inlineStr">
        <is>
          <t>2025H2</t>
        </is>
      </c>
      <c r="G22" s="10" t="n">
        <v>4</v>
      </c>
      <c r="H22" s="10" t="n">
        <v>4</v>
      </c>
      <c r="I22" s="10" t="n">
        <v>5</v>
      </c>
      <c r="J22" s="10" t="n">
        <v>5</v>
      </c>
      <c r="K22" s="10" t="n">
        <v>4</v>
      </c>
      <c r="L22" s="10" t="n">
        <v>4</v>
      </c>
      <c r="M22" s="10" t="n">
        <v>3</v>
      </c>
      <c r="N22" s="10" t="n">
        <v>5</v>
      </c>
      <c r="P22" s="23">
        <f>IF($A22="","",IF(COUNT(H22:O22)=0,"",ROUND(MAX(SUMPRODUCT(H22:O22,IFERROR(VLOOKUP($C22,参数配置!$A$26:$I$38,{2,3,4,5,6,7,8,9},FALSE),VLOOKUP(参数配置!$A$26,参数配置!$A$26:$I$38,{2,3,4,5,6,7,8,9},FALSE)))/SUMPRODUCT(IFERROR(VLOOKUP($C22,参数配置!$A$26:$I$38,{2,3,4,5,6,7,8,9},FALSE),VLOOKUP(参数配置!$A$26,参数配置!$A$26:$I$38,{2,3,4,5,6,7,8,9},FALSE)),--(H22:O22&lt;&gt;"")),参数配置!$E$13*MAX(H22:O22)),2)))</f>
        <v/>
      </c>
      <c r="Q22" s="23">
        <f>IF($A22="","",IF(P22="","",ROUND(G22*P22,2)))</f>
        <v/>
      </c>
      <c r="R22" s="8">
        <f>IF($A22="","",IF(COUNTIFS(控制措施表!$B:$B,$A22,控制措施表!$C:$C,$F22,控制措施表!$F:$F,"是")=0,IF(COUNTIFS(控制措施表!$B:$B,$A22,控制措施表!$C:$C,$F22)=0,"",MINIFS(控制措施表!$E:$E,控制措施表!$B:$B,$A22,控制措施表!$C:$C,$F22)),MINIFS(控制措施表!$E:$E,控制措施表!$B:$B,$A22,控制措施表!$C:$C,$F22,控制措施表!$F:$F,"是")))</f>
        <v/>
      </c>
      <c r="S22" s="24">
        <f>IF($A22="","",IF(R22="",0,VLOOKUP(R22,参数配置!$D$4:$E$8,2,FALSE)))</f>
        <v/>
      </c>
      <c r="T22" s="23">
        <f>IF($A22="","",IF(Q22="","",ROUND(Q22*(1-S22),2)))</f>
        <v/>
      </c>
      <c r="U22" s="8">
        <f>IF($A22="","",IF(T22="","",IF(T22&gt;=参数配置!$B$14,"极高",IF(T22&gt;=参数配置!$B$15,"高",IF(T22&gt;=参数配置!$B$16,"中",IF(T22&gt;=参数配置!$B$17,"低","极低"))))))</f>
        <v/>
      </c>
      <c r="V22" s="8">
        <f>IF($A22="","",IF(P22="","",ROUND(P22,0)))</f>
        <v/>
      </c>
      <c r="W22" s="8">
        <f>IF($A22="","",IF(Q22="","",ROUND(Q22,0)))</f>
        <v/>
      </c>
      <c r="X22" s="8">
        <f>IF($A22="","",IF(U22="","",IF(U22="极高","每年必审",IF(U22="高","每年审计",IF(U22="中","两年一轮","按需抽查")))))</f>
        <v/>
      </c>
      <c r="Y22" s="24">
        <f>IF($A22="","",IF(OR(Q22="",Q22=0),"",(Q22-T22)/Q22))</f>
        <v/>
      </c>
      <c r="Z22" s="22" t="inlineStr">
        <is>
          <t>权限复核发现 3 个离职未销账号；日志审计已覆盖核心系统</t>
        </is>
      </c>
    </row>
    <row r="23">
      <c r="A23" s="22" t="inlineStr">
        <is>
          <t>R010</t>
        </is>
      </c>
      <c r="B23" s="22" t="inlineStr">
        <is>
          <t>核心系统权限失控</t>
        </is>
      </c>
      <c r="C23" s="22" t="inlineStr">
        <is>
          <t>信息系统</t>
        </is>
      </c>
      <c r="D23" s="22" t="inlineStr">
        <is>
          <t>账号权限职责分离失效，关键业务数据可被篡改</t>
        </is>
      </c>
      <c r="E23" s="22" t="inlineStr">
        <is>
          <t>信息中心</t>
        </is>
      </c>
      <c r="F23" s="22" t="inlineStr">
        <is>
          <t>2026H1</t>
        </is>
      </c>
      <c r="G23" s="10" t="n">
        <v>3</v>
      </c>
      <c r="H23" s="10" t="n">
        <v>4</v>
      </c>
      <c r="I23" s="10" t="n">
        <v>5</v>
      </c>
      <c r="J23" s="10" t="n">
        <v>5</v>
      </c>
      <c r="K23" s="10" t="n">
        <v>4</v>
      </c>
      <c r="L23" s="10" t="n">
        <v>4</v>
      </c>
      <c r="M23" s="10" t="n">
        <v>3</v>
      </c>
      <c r="N23" s="10" t="n">
        <v>5</v>
      </c>
      <c r="P23" s="23">
        <f>IF($A23="","",IF(COUNT(H23:O23)=0,"",ROUND(MAX(SUMPRODUCT(H23:O23,IFERROR(VLOOKUP($C23,参数配置!$A$26:$I$38,{2,3,4,5,6,7,8,9},FALSE),VLOOKUP(参数配置!$A$26,参数配置!$A$26:$I$38,{2,3,4,5,6,7,8,9},FALSE)))/SUMPRODUCT(IFERROR(VLOOKUP($C23,参数配置!$A$26:$I$38,{2,3,4,5,6,7,8,9},FALSE),VLOOKUP(参数配置!$A$26,参数配置!$A$26:$I$38,{2,3,4,5,6,7,8,9},FALSE)),--(H23:O23&lt;&gt;"")),参数配置!$E$13*MAX(H23:O23)),2)))</f>
        <v/>
      </c>
      <c r="Q23" s="23">
        <f>IF($A23="","",IF(P23="","",ROUND(G23*P23,2)))</f>
        <v/>
      </c>
      <c r="R23" s="8">
        <f>IF($A23="","",IF(COUNTIFS(控制措施表!$B:$B,$A23,控制措施表!$C:$C,$F23,控制措施表!$F:$F,"是")=0,IF(COUNTIFS(控制措施表!$B:$B,$A23,控制措施表!$C:$C,$F23)=0,"",MINIFS(控制措施表!$E:$E,控制措施表!$B:$B,$A23,控制措施表!$C:$C,$F23)),MINIFS(控制措施表!$E:$E,控制措施表!$B:$B,$A23,控制措施表!$C:$C,$F23,控制措施表!$F:$F,"是")))</f>
        <v/>
      </c>
      <c r="S23" s="24">
        <f>IF($A23="","",IF(R23="",0,VLOOKUP(R23,参数配置!$D$4:$E$8,2,FALSE)))</f>
        <v/>
      </c>
      <c r="T23" s="23">
        <f>IF($A23="","",IF(Q23="","",ROUND(Q23*(1-S23),2)))</f>
        <v/>
      </c>
      <c r="U23" s="8">
        <f>IF($A23="","",IF(T23="","",IF(T23&gt;=参数配置!$B$14,"极高",IF(T23&gt;=参数配置!$B$15,"高",IF(T23&gt;=参数配置!$B$16,"中",IF(T23&gt;=参数配置!$B$17,"低","极低"))))))</f>
        <v/>
      </c>
      <c r="V23" s="8">
        <f>IF($A23="","",IF(P23="","",ROUND(P23,0)))</f>
        <v/>
      </c>
      <c r="W23" s="8">
        <f>IF($A23="","",IF(Q23="","",ROUND(Q23,0)))</f>
        <v/>
      </c>
      <c r="X23" s="8">
        <f>IF($A23="","",IF(U23="","",IF(U23="极高","每年必审",IF(U23="高","每年审计",IF(U23="中","两年一轮","按需抽查")))))</f>
        <v/>
      </c>
      <c r="Y23" s="24">
        <f>IF($A23="","",IF(OR(Q23="",Q23=0),"",(Q23-T23)/Q23))</f>
        <v/>
      </c>
      <c r="Z23" s="22" t="inlineStr">
        <is>
          <t>权限复核发现 3 个离职未销账号；日志审计已覆盖核心系统</t>
        </is>
      </c>
    </row>
    <row r="24">
      <c r="A24" s="22" t="inlineStr">
        <is>
          <t>R011</t>
        </is>
      </c>
      <c r="B24" s="22" t="inlineStr">
        <is>
          <t>备份容灾能力不足</t>
        </is>
      </c>
      <c r="C24" s="22" t="inlineStr">
        <is>
          <t>信息系统</t>
        </is>
      </c>
      <c r="D24" s="22" t="inlineStr">
        <is>
          <t>核心系统缺乏有效容灾，故障将导致业务长时间中断</t>
        </is>
      </c>
      <c r="E24" s="22" t="inlineStr">
        <is>
          <t>信息中心</t>
        </is>
      </c>
      <c r="F24" s="22" t="inlineStr">
        <is>
          <t>2025H2</t>
        </is>
      </c>
      <c r="G24" s="10" t="n">
        <v>3</v>
      </c>
      <c r="H24" s="10" t="n">
        <v>4</v>
      </c>
      <c r="I24" s="10" t="n">
        <v>3</v>
      </c>
      <c r="J24" s="10" t="n">
        <v>5</v>
      </c>
      <c r="K24" s="10" t="n">
        <v>4</v>
      </c>
      <c r="L24" s="10" t="n">
        <v>1</v>
      </c>
      <c r="M24" s="10" t="n">
        <v>4</v>
      </c>
      <c r="N24" s="10" t="n">
        <v>4</v>
      </c>
      <c r="P24" s="23">
        <f>IF($A24="","",IF(COUNT(H24:O24)=0,"",ROUND(MAX(SUMPRODUCT(H24:O24,IFERROR(VLOOKUP($C24,参数配置!$A$26:$I$38,{2,3,4,5,6,7,8,9},FALSE),VLOOKUP(参数配置!$A$26,参数配置!$A$26:$I$38,{2,3,4,5,6,7,8,9},FALSE)))/SUMPRODUCT(IFERROR(VLOOKUP($C24,参数配置!$A$26:$I$38,{2,3,4,5,6,7,8,9},FALSE),VLOOKUP(参数配置!$A$26,参数配置!$A$26:$I$38,{2,3,4,5,6,7,8,9},FALSE)),--(H24:O24&lt;&gt;"")),参数配置!$E$13*MAX(H24:O24)),2)))</f>
        <v/>
      </c>
      <c r="Q24" s="23">
        <f>IF($A24="","",IF(P24="","",ROUND(G24*P24,2)))</f>
        <v/>
      </c>
      <c r="R24" s="8">
        <f>IF($A24="","",IF(COUNTIFS(控制措施表!$B:$B,$A24,控制措施表!$C:$C,$F24,控制措施表!$F:$F,"是")=0,IF(COUNTIFS(控制措施表!$B:$B,$A24,控制措施表!$C:$C,$F24)=0,"",MINIFS(控制措施表!$E:$E,控制措施表!$B:$B,$A24,控制措施表!$C:$C,$F24)),MINIFS(控制措施表!$E:$E,控制措施表!$B:$B,$A24,控制措施表!$C:$C,$F24,控制措施表!$F:$F,"是")))</f>
        <v/>
      </c>
      <c r="S24" s="24">
        <f>IF($A24="","",IF(R24="",0,VLOOKUP(R24,参数配置!$D$4:$E$8,2,FALSE)))</f>
        <v/>
      </c>
      <c r="T24" s="23">
        <f>IF($A24="","",IF(Q24="","",ROUND(Q24*(1-S24),2)))</f>
        <v/>
      </c>
      <c r="U24" s="8">
        <f>IF($A24="","",IF(T24="","",IF(T24&gt;=参数配置!$B$14,"极高",IF(T24&gt;=参数配置!$B$15,"高",IF(T24&gt;=参数配置!$B$16,"中",IF(T24&gt;=参数配置!$B$17,"低","极低"))))))</f>
        <v/>
      </c>
      <c r="V24" s="8">
        <f>IF($A24="","",IF(P24="","",ROUND(P24,0)))</f>
        <v/>
      </c>
      <c r="W24" s="8">
        <f>IF($A24="","",IF(Q24="","",ROUND(Q24,0)))</f>
        <v/>
      </c>
      <c r="X24" s="8">
        <f>IF($A24="","",IF(U24="","",IF(U24="极高","每年必审",IF(U24="高","每年审计",IF(U24="中","两年一轮","按需抽查")))))</f>
        <v/>
      </c>
      <c r="Y24" s="24">
        <f>IF($A24="","",IF(OR(Q24="",Q24=0),"",(Q24-T24)/Q24))</f>
        <v/>
      </c>
      <c r="Z24" s="22" t="inlineStr">
        <is>
          <t>灾备演练 RTO 达标；双活改造完成验收</t>
        </is>
      </c>
    </row>
    <row r="25">
      <c r="A25" s="22" t="inlineStr">
        <is>
          <t>R011</t>
        </is>
      </c>
      <c r="B25" s="22" t="inlineStr">
        <is>
          <t>备份容灾能力不足</t>
        </is>
      </c>
      <c r="C25" s="22" t="inlineStr">
        <is>
          <t>信息系统</t>
        </is>
      </c>
      <c r="D25" s="22" t="inlineStr">
        <is>
          <t>核心系统缺乏有效容灾，故障将导致业务长时间中断</t>
        </is>
      </c>
      <c r="E25" s="22" t="inlineStr">
        <is>
          <t>信息中心</t>
        </is>
      </c>
      <c r="F25" s="22" t="inlineStr">
        <is>
          <t>2026H1</t>
        </is>
      </c>
      <c r="G25" s="10" t="n">
        <v>2</v>
      </c>
      <c r="H25" s="10" t="n">
        <v>4</v>
      </c>
      <c r="I25" s="10" t="n">
        <v>3</v>
      </c>
      <c r="J25" s="10" t="n">
        <v>5</v>
      </c>
      <c r="K25" s="10" t="n">
        <v>4</v>
      </c>
      <c r="L25" s="10" t="n">
        <v>1</v>
      </c>
      <c r="M25" s="10" t="n">
        <v>4</v>
      </c>
      <c r="N25" s="10" t="n">
        <v>4</v>
      </c>
      <c r="P25" s="23">
        <f>IF($A25="","",IF(COUNT(H25:O25)=0,"",ROUND(MAX(SUMPRODUCT(H25:O25,IFERROR(VLOOKUP($C25,参数配置!$A$26:$I$38,{2,3,4,5,6,7,8,9},FALSE),VLOOKUP(参数配置!$A$26,参数配置!$A$26:$I$38,{2,3,4,5,6,7,8,9},FALSE)))/SUMPRODUCT(IFERROR(VLOOKUP($C25,参数配置!$A$26:$I$38,{2,3,4,5,6,7,8,9},FALSE),VLOOKUP(参数配置!$A$26,参数配置!$A$26:$I$38,{2,3,4,5,6,7,8,9},FALSE)),--(H25:O25&lt;&gt;"")),参数配置!$E$13*MAX(H25:O25)),2)))</f>
        <v/>
      </c>
      <c r="Q25" s="23">
        <f>IF($A25="","",IF(P25="","",ROUND(G25*P25,2)))</f>
        <v/>
      </c>
      <c r="R25" s="8">
        <f>IF($A25="","",IF(COUNTIFS(控制措施表!$B:$B,$A25,控制措施表!$C:$C,$F25,控制措施表!$F:$F,"是")=0,IF(COUNTIFS(控制措施表!$B:$B,$A25,控制措施表!$C:$C,$F25)=0,"",MINIFS(控制措施表!$E:$E,控制措施表!$B:$B,$A25,控制措施表!$C:$C,$F25)),MINIFS(控制措施表!$E:$E,控制措施表!$B:$B,$A25,控制措施表!$C:$C,$F25,控制措施表!$F:$F,"是")))</f>
        <v/>
      </c>
      <c r="S25" s="24">
        <f>IF($A25="","",IF(R25="",0,VLOOKUP(R25,参数配置!$D$4:$E$8,2,FALSE)))</f>
        <v/>
      </c>
      <c r="T25" s="23">
        <f>IF($A25="","",IF(Q25="","",ROUND(Q25*(1-S25),2)))</f>
        <v/>
      </c>
      <c r="U25" s="8">
        <f>IF($A25="","",IF(T25="","",IF(T25&gt;=参数配置!$B$14,"极高",IF(T25&gt;=参数配置!$B$15,"高",IF(T25&gt;=参数配置!$B$16,"中",IF(T25&gt;=参数配置!$B$17,"低","极低"))))))</f>
        <v/>
      </c>
      <c r="V25" s="8">
        <f>IF($A25="","",IF(P25="","",ROUND(P25,0)))</f>
        <v/>
      </c>
      <c r="W25" s="8">
        <f>IF($A25="","",IF(Q25="","",ROUND(Q25,0)))</f>
        <v/>
      </c>
      <c r="X25" s="8">
        <f>IF($A25="","",IF(U25="","",IF(U25="极高","每年必审",IF(U25="高","每年审计",IF(U25="中","两年一轮","按需抽查")))))</f>
        <v/>
      </c>
      <c r="Y25" s="24">
        <f>IF($A25="","",IF(OR(Q25="",Q25=0),"",(Q25-T25)/Q25))</f>
        <v/>
      </c>
      <c r="Z25" s="22" t="inlineStr">
        <is>
          <t>灾备演练 RTO 达标；双活改造完成验收</t>
        </is>
      </c>
    </row>
    <row r="26">
      <c r="A26" s="22" t="inlineStr">
        <is>
          <t>R012</t>
        </is>
      </c>
      <c r="B26" s="22" t="inlineStr">
        <is>
          <t>网络攻击暴露面大</t>
        </is>
      </c>
      <c r="C26" s="22" t="inlineStr">
        <is>
          <t>信息系统</t>
        </is>
      </c>
      <c r="D26" s="22" t="inlineStr">
        <is>
          <t>互联网暴露资产多，面临勒索病毒入侵与数据泄露风险</t>
        </is>
      </c>
      <c r="E26" s="22" t="inlineStr">
        <is>
          <t>信息中心</t>
        </is>
      </c>
      <c r="F26" s="22" t="inlineStr">
        <is>
          <t>2025H2</t>
        </is>
      </c>
      <c r="G26" s="10" t="n">
        <v>4</v>
      </c>
      <c r="H26" s="10" t="n">
        <v>4</v>
      </c>
      <c r="I26" s="10" t="n">
        <v>5</v>
      </c>
      <c r="J26" s="10" t="n">
        <v>5</v>
      </c>
      <c r="K26" s="10" t="n">
        <v>5</v>
      </c>
      <c r="L26" s="10" t="n">
        <v>2</v>
      </c>
      <c r="M26" s="10" t="n">
        <v>4</v>
      </c>
      <c r="N26" s="10" t="n">
        <v>5</v>
      </c>
      <c r="P26" s="23">
        <f>IF($A26="","",IF(COUNT(H26:O26)=0,"",ROUND(MAX(SUMPRODUCT(H26:O26,IFERROR(VLOOKUP($C26,参数配置!$A$26:$I$38,{2,3,4,5,6,7,8,9},FALSE),VLOOKUP(参数配置!$A$26,参数配置!$A$26:$I$38,{2,3,4,5,6,7,8,9},FALSE)))/SUMPRODUCT(IFERROR(VLOOKUP($C26,参数配置!$A$26:$I$38,{2,3,4,5,6,7,8,9},FALSE),VLOOKUP(参数配置!$A$26,参数配置!$A$26:$I$38,{2,3,4,5,6,7,8,9},FALSE)),--(H26:O26&lt;&gt;"")),参数配置!$E$13*MAX(H26:O26)),2)))</f>
        <v/>
      </c>
      <c r="Q26" s="23">
        <f>IF($A26="","",IF(P26="","",ROUND(G26*P26,2)))</f>
        <v/>
      </c>
      <c r="R26" s="8">
        <f>IF($A26="","",IF(COUNTIFS(控制措施表!$B:$B,$A26,控制措施表!$C:$C,$F26,控制措施表!$F:$F,"是")=0,IF(COUNTIFS(控制措施表!$B:$B,$A26,控制措施表!$C:$C,$F26)=0,"",MINIFS(控制措施表!$E:$E,控制措施表!$B:$B,$A26,控制措施表!$C:$C,$F26)),MINIFS(控制措施表!$E:$E,控制措施表!$B:$B,$A26,控制措施表!$C:$C,$F26,控制措施表!$F:$F,"是")))</f>
        <v/>
      </c>
      <c r="S26" s="24">
        <f>IF($A26="","",IF(R26="",0,VLOOKUP(R26,参数配置!$D$4:$E$8,2,FALSE)))</f>
        <v/>
      </c>
      <c r="T26" s="23">
        <f>IF($A26="","",IF(Q26="","",ROUND(Q26*(1-S26),2)))</f>
        <v/>
      </c>
      <c r="U26" s="8">
        <f>IF($A26="","",IF(T26="","",IF(T26&gt;=参数配置!$B$14,"极高",IF(T26&gt;=参数配置!$B$15,"高",IF(T26&gt;=参数配置!$B$16,"中",IF(T26&gt;=参数配置!$B$17,"低","极低"))))))</f>
        <v/>
      </c>
      <c r="V26" s="8">
        <f>IF($A26="","",IF(P26="","",ROUND(P26,0)))</f>
        <v/>
      </c>
      <c r="W26" s="8">
        <f>IF($A26="","",IF(Q26="","",ROUND(Q26,0)))</f>
        <v/>
      </c>
      <c r="X26" s="8">
        <f>IF($A26="","",IF(U26="","",IF(U26="极高","每年必审",IF(U26="高","每年审计",IF(U26="中","两年一轮","按需抽查")))))</f>
        <v/>
      </c>
      <c r="Y26" s="24">
        <f>IF($A26="","",IF(OR(Q26="",Q26=0),"",(Q26-T26)/Q26))</f>
        <v/>
      </c>
      <c r="Z26" s="22" t="inlineStr">
        <is>
          <t>行业勒索事件高发；EDR 终端覆盖率因预算削减降至 60%</t>
        </is>
      </c>
    </row>
    <row r="27">
      <c r="A27" s="22" t="inlineStr">
        <is>
          <t>R012</t>
        </is>
      </c>
      <c r="B27" s="22" t="inlineStr">
        <is>
          <t>网络攻击暴露面大</t>
        </is>
      </c>
      <c r="C27" s="22" t="inlineStr">
        <is>
          <t>信息系统</t>
        </is>
      </c>
      <c r="D27" s="22" t="inlineStr">
        <is>
          <t>互联网暴露资产多，面临勒索病毒入侵与数据泄露风险</t>
        </is>
      </c>
      <c r="E27" s="22" t="inlineStr">
        <is>
          <t>信息中心</t>
        </is>
      </c>
      <c r="F27" s="22" t="inlineStr">
        <is>
          <t>2026H1</t>
        </is>
      </c>
      <c r="G27" s="10" t="n">
        <v>5</v>
      </c>
      <c r="H27" s="10" t="n">
        <v>4</v>
      </c>
      <c r="I27" s="10" t="n">
        <v>5</v>
      </c>
      <c r="J27" s="10" t="n">
        <v>5</v>
      </c>
      <c r="K27" s="10" t="n">
        <v>5</v>
      </c>
      <c r="L27" s="10" t="n">
        <v>2</v>
      </c>
      <c r="M27" s="10" t="n">
        <v>4</v>
      </c>
      <c r="N27" s="10" t="n">
        <v>5</v>
      </c>
      <c r="P27" s="23">
        <f>IF($A27="","",IF(COUNT(H27:O27)=0,"",ROUND(MAX(SUMPRODUCT(H27:O27,IFERROR(VLOOKUP($C27,参数配置!$A$26:$I$38,{2,3,4,5,6,7,8,9},FALSE),VLOOKUP(参数配置!$A$26,参数配置!$A$26:$I$38,{2,3,4,5,6,7,8,9},FALSE)))/SUMPRODUCT(IFERROR(VLOOKUP($C27,参数配置!$A$26:$I$38,{2,3,4,5,6,7,8,9},FALSE),VLOOKUP(参数配置!$A$26,参数配置!$A$26:$I$38,{2,3,4,5,6,7,8,9},FALSE)),--(H27:O27&lt;&gt;"")),参数配置!$E$13*MAX(H27:O27)),2)))</f>
        <v/>
      </c>
      <c r="Q27" s="23">
        <f>IF($A27="","",IF(P27="","",ROUND(G27*P27,2)))</f>
        <v/>
      </c>
      <c r="R27" s="8">
        <f>IF($A27="","",IF(COUNTIFS(控制措施表!$B:$B,$A27,控制措施表!$C:$C,$F27,控制措施表!$F:$F,"是")=0,IF(COUNTIFS(控制措施表!$B:$B,$A27,控制措施表!$C:$C,$F27)=0,"",MINIFS(控制措施表!$E:$E,控制措施表!$B:$B,$A27,控制措施表!$C:$C,$F27)),MINIFS(控制措施表!$E:$E,控制措施表!$B:$B,$A27,控制措施表!$C:$C,$F27,控制措施表!$F:$F,"是")))</f>
        <v/>
      </c>
      <c r="S27" s="24">
        <f>IF($A27="","",IF(R27="",0,VLOOKUP(R27,参数配置!$D$4:$E$8,2,FALSE)))</f>
        <v/>
      </c>
      <c r="T27" s="23">
        <f>IF($A27="","",IF(Q27="","",ROUND(Q27*(1-S27),2)))</f>
        <v/>
      </c>
      <c r="U27" s="8">
        <f>IF($A27="","",IF(T27="","",IF(T27&gt;=参数配置!$B$14,"极高",IF(T27&gt;=参数配置!$B$15,"高",IF(T27&gt;=参数配置!$B$16,"中",IF(T27&gt;=参数配置!$B$17,"低","极低"))))))</f>
        <v/>
      </c>
      <c r="V27" s="8">
        <f>IF($A27="","",IF(P27="","",ROUND(P27,0)))</f>
        <v/>
      </c>
      <c r="W27" s="8">
        <f>IF($A27="","",IF(Q27="","",ROUND(Q27,0)))</f>
        <v/>
      </c>
      <c r="X27" s="8">
        <f>IF($A27="","",IF(U27="","",IF(U27="极高","每年必审",IF(U27="高","每年审计",IF(U27="中","两年一轮","按需抽查")))))</f>
        <v/>
      </c>
      <c r="Y27" s="24">
        <f>IF($A27="","",IF(OR(Q27="",Q27=0),"",(Q27-T27)/Q27))</f>
        <v/>
      </c>
      <c r="Z27" s="22" t="inlineStr">
        <is>
          <t>行业勒索事件高发；EDR 终端覆盖率因预算削减降至 60%</t>
        </is>
      </c>
    </row>
    <row r="28">
      <c r="A28" s="22" t="inlineStr">
        <is>
          <t>R013</t>
        </is>
      </c>
      <c r="B28" s="22" t="inlineStr">
        <is>
          <t>关键岗位人才流失</t>
        </is>
      </c>
      <c r="C28" s="22" t="inlineStr">
        <is>
          <t>人力资源</t>
        </is>
      </c>
      <c r="D28" s="22" t="inlineStr">
        <is>
          <t>财务、信息等关键岗位骨干流失，出现断档</t>
        </is>
      </c>
      <c r="E28" s="22" t="inlineStr">
        <is>
          <t>人力资源部</t>
        </is>
      </c>
      <c r="F28" s="22" t="inlineStr">
        <is>
          <t>2025H2</t>
        </is>
      </c>
      <c r="G28" s="10" t="n">
        <v>4</v>
      </c>
      <c r="H28" s="10" t="n">
        <v>3</v>
      </c>
      <c r="I28" s="10" t="n">
        <v>2</v>
      </c>
      <c r="J28" s="10" t="n">
        <v>4</v>
      </c>
      <c r="K28" s="10" t="n">
        <v>3</v>
      </c>
      <c r="L28" s="10" t="n">
        <v>1</v>
      </c>
      <c r="M28" s="10" t="n">
        <v>5</v>
      </c>
      <c r="P28" s="23">
        <f>IF($A28="","",IF(COUNT(H28:O28)=0,"",ROUND(MAX(SUMPRODUCT(H28:O28,IFERROR(VLOOKUP($C28,参数配置!$A$26:$I$38,{2,3,4,5,6,7,8,9},FALSE),VLOOKUP(参数配置!$A$26,参数配置!$A$26:$I$38,{2,3,4,5,6,7,8,9},FALSE)))/SUMPRODUCT(IFERROR(VLOOKUP($C28,参数配置!$A$26:$I$38,{2,3,4,5,6,7,8,9},FALSE),VLOOKUP(参数配置!$A$26,参数配置!$A$26:$I$38,{2,3,4,5,6,7,8,9},FALSE)),--(H28:O28&lt;&gt;"")),参数配置!$E$13*MAX(H28:O28)),2)))</f>
        <v/>
      </c>
      <c r="Q28" s="23">
        <f>IF($A28="","",IF(P28="","",ROUND(G28*P28,2)))</f>
        <v/>
      </c>
      <c r="R28" s="8">
        <f>IF($A28="","",IF(COUNTIFS(控制措施表!$B:$B,$A28,控制措施表!$C:$C,$F28,控制措施表!$F:$F,"是")=0,IF(COUNTIFS(控制措施表!$B:$B,$A28,控制措施表!$C:$C,$F28)=0,"",MINIFS(控制措施表!$E:$E,控制措施表!$B:$B,$A28,控制措施表!$C:$C,$F28)),MINIFS(控制措施表!$E:$E,控制措施表!$B:$B,$A28,控制措施表!$C:$C,$F28,控制措施表!$F:$F,"是")))</f>
        <v/>
      </c>
      <c r="S28" s="24">
        <f>IF($A28="","",IF(R28="",0,VLOOKUP(R28,参数配置!$D$4:$E$8,2,FALSE)))</f>
        <v/>
      </c>
      <c r="T28" s="23">
        <f>IF($A28="","",IF(Q28="","",ROUND(Q28*(1-S28),2)))</f>
        <v/>
      </c>
      <c r="U28" s="8">
        <f>IF($A28="","",IF(T28="","",IF(T28&gt;=参数配置!$B$14,"极高",IF(T28&gt;=参数配置!$B$15,"高",IF(T28&gt;=参数配置!$B$16,"中",IF(T28&gt;=参数配置!$B$17,"低","极低"))))))</f>
        <v/>
      </c>
      <c r="V28" s="8">
        <f>IF($A28="","",IF(P28="","",ROUND(P28,0)))</f>
        <v/>
      </c>
      <c r="W28" s="8">
        <f>IF($A28="","",IF(Q28="","",ROUND(Q28,0)))</f>
        <v/>
      </c>
      <c r="X28" s="8">
        <f>IF($A28="","",IF(U28="","",IF(U28="极高","每年必审",IF(U28="高","每年审计",IF(U28="中","两年一轮","按需抽查")))))</f>
        <v/>
      </c>
      <c r="Y28" s="24">
        <f>IF($A28="","",IF(OR(Q28="",Q28=0),"",(Q28-T28)/Q28))</f>
        <v/>
      </c>
      <c r="Z28" s="22" t="inlineStr">
        <is>
          <t>财务、信息骨干离职率同比上升；AB 角覆盖不到位</t>
        </is>
      </c>
    </row>
    <row r="29">
      <c r="A29" s="22" t="inlineStr">
        <is>
          <t>R013</t>
        </is>
      </c>
      <c r="B29" s="22" t="inlineStr">
        <is>
          <t>关键岗位人才流失</t>
        </is>
      </c>
      <c r="C29" s="22" t="inlineStr">
        <is>
          <t>人力资源</t>
        </is>
      </c>
      <c r="D29" s="22" t="inlineStr">
        <is>
          <t>财务、信息等关键岗位骨干流失，出现断档</t>
        </is>
      </c>
      <c r="E29" s="22" t="inlineStr">
        <is>
          <t>人力资源部</t>
        </is>
      </c>
      <c r="F29" s="22" t="inlineStr">
        <is>
          <t>2026H1</t>
        </is>
      </c>
      <c r="G29" s="10" t="n">
        <v>4</v>
      </c>
      <c r="H29" s="10" t="n">
        <v>3</v>
      </c>
      <c r="I29" s="10" t="n">
        <v>2</v>
      </c>
      <c r="J29" s="10" t="n">
        <v>4</v>
      </c>
      <c r="K29" s="10" t="n">
        <v>3</v>
      </c>
      <c r="L29" s="10" t="n">
        <v>1</v>
      </c>
      <c r="M29" s="10" t="n">
        <v>5</v>
      </c>
      <c r="P29" s="23">
        <f>IF($A29="","",IF(COUNT(H29:O29)=0,"",ROUND(MAX(SUMPRODUCT(H29:O29,IFERROR(VLOOKUP($C29,参数配置!$A$26:$I$38,{2,3,4,5,6,7,8,9},FALSE),VLOOKUP(参数配置!$A$26,参数配置!$A$26:$I$38,{2,3,4,5,6,7,8,9},FALSE)))/SUMPRODUCT(IFERROR(VLOOKUP($C29,参数配置!$A$26:$I$38,{2,3,4,5,6,7,8,9},FALSE),VLOOKUP(参数配置!$A$26,参数配置!$A$26:$I$38,{2,3,4,5,6,7,8,9},FALSE)),--(H29:O29&lt;&gt;"")),参数配置!$E$13*MAX(H29:O29)),2)))</f>
        <v/>
      </c>
      <c r="Q29" s="23">
        <f>IF($A29="","",IF(P29="","",ROUND(G29*P29,2)))</f>
        <v/>
      </c>
      <c r="R29" s="8">
        <f>IF($A29="","",IF(COUNTIFS(控制措施表!$B:$B,$A29,控制措施表!$C:$C,$F29,控制措施表!$F:$F,"是")=0,IF(COUNTIFS(控制措施表!$B:$B,$A29,控制措施表!$C:$C,$F29)=0,"",MINIFS(控制措施表!$E:$E,控制措施表!$B:$B,$A29,控制措施表!$C:$C,$F29)),MINIFS(控制措施表!$E:$E,控制措施表!$B:$B,$A29,控制措施表!$C:$C,$F29,控制措施表!$F:$F,"是")))</f>
        <v/>
      </c>
      <c r="S29" s="24">
        <f>IF($A29="","",IF(R29="",0,VLOOKUP(R29,参数配置!$D$4:$E$8,2,FALSE)))</f>
        <v/>
      </c>
      <c r="T29" s="23">
        <f>IF($A29="","",IF(Q29="","",ROUND(Q29*(1-S29),2)))</f>
        <v/>
      </c>
      <c r="U29" s="8">
        <f>IF($A29="","",IF(T29="","",IF(T29&gt;=参数配置!$B$14,"极高",IF(T29&gt;=参数配置!$B$15,"高",IF(T29&gt;=参数配置!$B$16,"中",IF(T29&gt;=参数配置!$B$17,"低","极低"))))))</f>
        <v/>
      </c>
      <c r="V29" s="8">
        <f>IF($A29="","",IF(P29="","",ROUND(P29,0)))</f>
        <v/>
      </c>
      <c r="W29" s="8">
        <f>IF($A29="","",IF(Q29="","",ROUND(Q29,0)))</f>
        <v/>
      </c>
      <c r="X29" s="8">
        <f>IF($A29="","",IF(U29="","",IF(U29="极高","每年必审",IF(U29="高","每年审计",IF(U29="中","两年一轮","按需抽查")))))</f>
        <v/>
      </c>
      <c r="Y29" s="24">
        <f>IF($A29="","",IF(OR(Q29="",Q29=0),"",(Q29-T29)/Q29))</f>
        <v/>
      </c>
      <c r="Z29" s="22" t="inlineStr">
        <is>
          <t>财务、信息骨干离职率同比上升；AB 角覆盖不到位</t>
        </is>
      </c>
    </row>
    <row r="30">
      <c r="A30" s="22" t="inlineStr">
        <is>
          <t>R014</t>
        </is>
      </c>
      <c r="B30" s="22" t="inlineStr">
        <is>
          <t>招聘录用舞弊</t>
        </is>
      </c>
      <c r="C30" s="22" t="inlineStr">
        <is>
          <t>人力资源</t>
        </is>
      </c>
      <c r="D30" s="22" t="inlineStr">
        <is>
          <t>亲属回避制度执行不严，存在人情招聘</t>
        </is>
      </c>
      <c r="E30" s="22" t="inlineStr">
        <is>
          <t>人力资源部</t>
        </is>
      </c>
      <c r="F30" s="22" t="inlineStr">
        <is>
          <t>2025H2</t>
        </is>
      </c>
      <c r="G30" s="10" t="n">
        <v>3</v>
      </c>
      <c r="H30" s="10" t="n">
        <v>2</v>
      </c>
      <c r="I30" s="10" t="n">
        <v>4</v>
      </c>
      <c r="J30" s="10" t="n">
        <v>2</v>
      </c>
      <c r="K30" s="10" t="n">
        <v>3</v>
      </c>
      <c r="L30" s="10" t="n">
        <v>4</v>
      </c>
      <c r="M30" s="10" t="n">
        <v>1</v>
      </c>
      <c r="N30" s="10" t="n">
        <v>2</v>
      </c>
      <c r="P30" s="23">
        <f>IF($A30="","",IF(COUNT(H30:O30)=0,"",ROUND(MAX(SUMPRODUCT(H30:O30,IFERROR(VLOOKUP($C30,参数配置!$A$26:$I$38,{2,3,4,5,6,7,8,9},FALSE),VLOOKUP(参数配置!$A$26,参数配置!$A$26:$I$38,{2,3,4,5,6,7,8,9},FALSE)))/SUMPRODUCT(IFERROR(VLOOKUP($C30,参数配置!$A$26:$I$38,{2,3,4,5,6,7,8,9},FALSE),VLOOKUP(参数配置!$A$26,参数配置!$A$26:$I$38,{2,3,4,5,6,7,8,9},FALSE)),--(H30:O30&lt;&gt;"")),参数配置!$E$13*MAX(H30:O30)),2)))</f>
        <v/>
      </c>
      <c r="Q30" s="23">
        <f>IF($A30="","",IF(P30="","",ROUND(G30*P30,2)))</f>
        <v/>
      </c>
      <c r="R30" s="8">
        <f>IF($A30="","",IF(COUNTIFS(控制措施表!$B:$B,$A30,控制措施表!$C:$C,$F30,控制措施表!$F:$F,"是")=0,IF(COUNTIFS(控制措施表!$B:$B,$A30,控制措施表!$C:$C,$F30)=0,"",MINIFS(控制措施表!$E:$E,控制措施表!$B:$B,$A30,控制措施表!$C:$C,$F30)),MINIFS(控制措施表!$E:$E,控制措施表!$B:$B,$A30,控制措施表!$C:$C,$F30,控制措施表!$F:$F,"是")))</f>
        <v/>
      </c>
      <c r="S30" s="24">
        <f>IF($A30="","",IF(R30="",0,VLOOKUP(R30,参数配置!$D$4:$E$8,2,FALSE)))</f>
        <v/>
      </c>
      <c r="T30" s="23">
        <f>IF($A30="","",IF(Q30="","",ROUND(Q30*(1-S30),2)))</f>
        <v/>
      </c>
      <c r="U30" s="8">
        <f>IF($A30="","",IF(T30="","",IF(T30&gt;=参数配置!$B$14,"极高",IF(T30&gt;=参数配置!$B$15,"高",IF(T30&gt;=参数配置!$B$16,"中",IF(T30&gt;=参数配置!$B$17,"低","极低"))))))</f>
        <v/>
      </c>
      <c r="V30" s="8">
        <f>IF($A30="","",IF(P30="","",ROUND(P30,0)))</f>
        <v/>
      </c>
      <c r="W30" s="8">
        <f>IF($A30="","",IF(Q30="","",ROUND(Q30,0)))</f>
        <v/>
      </c>
      <c r="X30" s="8">
        <f>IF($A30="","",IF(U30="","",IF(U30="极高","每年必审",IF(U30="高","每年审计",IF(U30="中","两年一轮","按需抽查")))))</f>
        <v/>
      </c>
      <c r="Y30" s="24">
        <f>IF($A30="","",IF(OR(Q30="",Q30=0),"",(Q30-T30)/Q30))</f>
        <v/>
      </c>
      <c r="Z30" s="22" t="inlineStr">
        <is>
          <t>近三年未发现招聘舞弊案例；背景调查执行率 100%</t>
        </is>
      </c>
    </row>
    <row r="31">
      <c r="A31" s="22" t="inlineStr">
        <is>
          <t>R014</t>
        </is>
      </c>
      <c r="B31" s="22" t="inlineStr">
        <is>
          <t>招聘录用舞弊</t>
        </is>
      </c>
      <c r="C31" s="22" t="inlineStr">
        <is>
          <t>人力资源</t>
        </is>
      </c>
      <c r="D31" s="22" t="inlineStr">
        <is>
          <t>亲属回避制度执行不严，存在人情招聘</t>
        </is>
      </c>
      <c r="E31" s="22" t="inlineStr">
        <is>
          <t>人力资源部</t>
        </is>
      </c>
      <c r="F31" s="22" t="inlineStr">
        <is>
          <t>2026H1</t>
        </is>
      </c>
      <c r="G31" s="10" t="n">
        <v>2</v>
      </c>
      <c r="H31" s="10" t="n">
        <v>2</v>
      </c>
      <c r="I31" s="10" t="n">
        <v>4</v>
      </c>
      <c r="J31" s="10" t="n">
        <v>2</v>
      </c>
      <c r="K31" s="10" t="n">
        <v>3</v>
      </c>
      <c r="L31" s="10" t="n">
        <v>4</v>
      </c>
      <c r="M31" s="10" t="n">
        <v>1</v>
      </c>
      <c r="N31" s="10" t="n">
        <v>2</v>
      </c>
      <c r="P31" s="23">
        <f>IF($A31="","",IF(COUNT(H31:O31)=0,"",ROUND(MAX(SUMPRODUCT(H31:O31,IFERROR(VLOOKUP($C31,参数配置!$A$26:$I$38,{2,3,4,5,6,7,8,9},FALSE),VLOOKUP(参数配置!$A$26,参数配置!$A$26:$I$38,{2,3,4,5,6,7,8,9},FALSE)))/SUMPRODUCT(IFERROR(VLOOKUP($C31,参数配置!$A$26:$I$38,{2,3,4,5,6,7,8,9},FALSE),VLOOKUP(参数配置!$A$26,参数配置!$A$26:$I$38,{2,3,4,5,6,7,8,9},FALSE)),--(H31:O31&lt;&gt;"")),参数配置!$E$13*MAX(H31:O31)),2)))</f>
        <v/>
      </c>
      <c r="Q31" s="23">
        <f>IF($A31="","",IF(P31="","",ROUND(G31*P31,2)))</f>
        <v/>
      </c>
      <c r="R31" s="8">
        <f>IF($A31="","",IF(COUNTIFS(控制措施表!$B:$B,$A31,控制措施表!$C:$C,$F31,控制措施表!$F:$F,"是")=0,IF(COUNTIFS(控制措施表!$B:$B,$A31,控制措施表!$C:$C,$F31)=0,"",MINIFS(控制措施表!$E:$E,控制措施表!$B:$B,$A31,控制措施表!$C:$C,$F31)),MINIFS(控制措施表!$E:$E,控制措施表!$B:$B,$A31,控制措施表!$C:$C,$F31,控制措施表!$F:$F,"是")))</f>
        <v/>
      </c>
      <c r="S31" s="24">
        <f>IF($A31="","",IF(R31="",0,VLOOKUP(R31,参数配置!$D$4:$E$8,2,FALSE)))</f>
        <v/>
      </c>
      <c r="T31" s="23">
        <f>IF($A31="","",IF(Q31="","",ROUND(Q31*(1-S31),2)))</f>
        <v/>
      </c>
      <c r="U31" s="8">
        <f>IF($A31="","",IF(T31="","",IF(T31&gt;=参数配置!$B$14,"极高",IF(T31&gt;=参数配置!$B$15,"高",IF(T31&gt;=参数配置!$B$16,"中",IF(T31&gt;=参数配置!$B$17,"低","极低"))))))</f>
        <v/>
      </c>
      <c r="V31" s="8">
        <f>IF($A31="","",IF(P31="","",ROUND(P31,0)))</f>
        <v/>
      </c>
      <c r="W31" s="8">
        <f>IF($A31="","",IF(Q31="","",ROUND(Q31,0)))</f>
        <v/>
      </c>
      <c r="X31" s="8">
        <f>IF($A31="","",IF(U31="","",IF(U31="极高","每年必审",IF(U31="高","每年审计",IF(U31="中","两年一轮","按需抽查")))))</f>
        <v/>
      </c>
      <c r="Y31" s="24">
        <f>IF($A31="","",IF(OR(Q31="",Q31=0),"",(Q31-T31)/Q31))</f>
        <v/>
      </c>
      <c r="Z31" s="22" t="inlineStr">
        <is>
          <t>近三年未发现招聘舞弊案例；背景调查执行率 100%</t>
        </is>
      </c>
    </row>
    <row r="32">
      <c r="A32" s="22" t="inlineStr">
        <is>
          <t>R015</t>
        </is>
      </c>
      <c r="B32" s="22" t="inlineStr">
        <is>
          <t>存货盘点账实不符</t>
        </is>
      </c>
      <c r="C32" s="22" t="inlineStr">
        <is>
          <t>资产管理</t>
        </is>
      </c>
      <c r="D32" s="22" t="inlineStr">
        <is>
          <t>盘点流于形式，存货毁损盗失未能及时在账面反映</t>
        </is>
      </c>
      <c r="E32" s="22" t="inlineStr">
        <is>
          <t>物资部</t>
        </is>
      </c>
      <c r="F32" s="22" t="inlineStr">
        <is>
          <t>2025H2</t>
        </is>
      </c>
      <c r="G32" s="10" t="n">
        <v>3</v>
      </c>
      <c r="H32" s="10" t="n">
        <v>4</v>
      </c>
      <c r="I32" s="10" t="n">
        <v>3</v>
      </c>
      <c r="J32" s="10" t="n">
        <v>3</v>
      </c>
      <c r="K32" s="10" t="n">
        <v>3</v>
      </c>
      <c r="L32" s="10" t="n">
        <v>4</v>
      </c>
      <c r="M32" s="10" t="n">
        <v>1</v>
      </c>
      <c r="N32" s="10" t="n">
        <v>1</v>
      </c>
      <c r="O32" s="10" t="n">
        <v>2</v>
      </c>
      <c r="P32" s="23">
        <f>IF($A32="","",IF(COUNT(H32:O32)=0,"",ROUND(MAX(SUMPRODUCT(H32:O32,IFERROR(VLOOKUP($C32,参数配置!$A$26:$I$38,{2,3,4,5,6,7,8,9},FALSE),VLOOKUP(参数配置!$A$26,参数配置!$A$26:$I$38,{2,3,4,5,6,7,8,9},FALSE)))/SUMPRODUCT(IFERROR(VLOOKUP($C32,参数配置!$A$26:$I$38,{2,3,4,5,6,7,8,9},FALSE),VLOOKUP(参数配置!$A$26,参数配置!$A$26:$I$38,{2,3,4,5,6,7,8,9},FALSE)),--(H32:O32&lt;&gt;"")),参数配置!$E$13*MAX(H32:O32)),2)))</f>
        <v/>
      </c>
      <c r="Q32" s="23">
        <f>IF($A32="","",IF(P32="","",ROUND(G32*P32,2)))</f>
        <v/>
      </c>
      <c r="R32" s="8">
        <f>IF($A32="","",IF(COUNTIFS(控制措施表!$B:$B,$A32,控制措施表!$C:$C,$F32,控制措施表!$F:$F,"是")=0,IF(COUNTIFS(控制措施表!$B:$B,$A32,控制措施表!$C:$C,$F32)=0,"",MINIFS(控制措施表!$E:$E,控制措施表!$B:$B,$A32,控制措施表!$C:$C,$F32)),MINIFS(控制措施表!$E:$E,控制措施表!$B:$B,$A32,控制措施表!$C:$C,$F32,控制措施表!$F:$F,"是")))</f>
        <v/>
      </c>
      <c r="S32" s="24">
        <f>IF($A32="","",IF(R32="",0,VLOOKUP(R32,参数配置!$D$4:$E$8,2,FALSE)))</f>
        <v/>
      </c>
      <c r="T32" s="23">
        <f>IF($A32="","",IF(Q32="","",ROUND(Q32*(1-S32),2)))</f>
        <v/>
      </c>
      <c r="U32" s="8">
        <f>IF($A32="","",IF(T32="","",IF(T32&gt;=参数配置!$B$14,"极高",IF(T32&gt;=参数配置!$B$15,"高",IF(T32&gt;=参数配置!$B$16,"中",IF(T32&gt;=参数配置!$B$17,"低","极低"))))))</f>
        <v/>
      </c>
      <c r="V32" s="8">
        <f>IF($A32="","",IF(P32="","",ROUND(P32,0)))</f>
        <v/>
      </c>
      <c r="W32" s="8">
        <f>IF($A32="","",IF(Q32="","",ROUND(Q32,0)))</f>
        <v/>
      </c>
      <c r="X32" s="8">
        <f>IF($A32="","",IF(U32="","",IF(U32="极高","每年必审",IF(U32="高","每年审计",IF(U32="中","两年一轮","按需抽查")))))</f>
        <v/>
      </c>
      <c r="Y32" s="24">
        <f>IF($A32="","",IF(OR(Q32="",Q32=0),"",(Q32-T32)/Q32))</f>
        <v/>
      </c>
      <c r="Z32" s="22" t="inlineStr">
        <is>
          <t>上期盘点差异率 0.8% 已整改；条码管理覆盖主要仓库</t>
        </is>
      </c>
    </row>
    <row r="33">
      <c r="A33" s="22" t="inlineStr">
        <is>
          <t>R015</t>
        </is>
      </c>
      <c r="B33" s="22" t="inlineStr">
        <is>
          <t>存货盘点账实不符</t>
        </is>
      </c>
      <c r="C33" s="22" t="inlineStr">
        <is>
          <t>资产管理</t>
        </is>
      </c>
      <c r="D33" s="22" t="inlineStr">
        <is>
          <t>盘点流于形式，存货毁损盗失未能及时在账面反映</t>
        </is>
      </c>
      <c r="E33" s="22" t="inlineStr">
        <is>
          <t>物资部</t>
        </is>
      </c>
      <c r="F33" s="22" t="inlineStr">
        <is>
          <t>2026H1</t>
        </is>
      </c>
      <c r="G33" s="10" t="n">
        <v>3</v>
      </c>
      <c r="H33" s="10" t="n">
        <v>4</v>
      </c>
      <c r="I33" s="10" t="n">
        <v>3</v>
      </c>
      <c r="J33" s="10" t="n">
        <v>3</v>
      </c>
      <c r="K33" s="10" t="n">
        <v>2</v>
      </c>
      <c r="L33" s="10" t="n">
        <v>3</v>
      </c>
      <c r="M33" s="10" t="n">
        <v>1</v>
      </c>
      <c r="N33" s="10" t="n">
        <v>1</v>
      </c>
      <c r="O33" s="10" t="n">
        <v>2</v>
      </c>
      <c r="P33" s="23">
        <f>IF($A33="","",IF(COUNT(H33:O33)=0,"",ROUND(MAX(SUMPRODUCT(H33:O33,IFERROR(VLOOKUP($C33,参数配置!$A$26:$I$38,{2,3,4,5,6,7,8,9},FALSE),VLOOKUP(参数配置!$A$26,参数配置!$A$26:$I$38,{2,3,4,5,6,7,8,9},FALSE)))/SUMPRODUCT(IFERROR(VLOOKUP($C33,参数配置!$A$26:$I$38,{2,3,4,5,6,7,8,9},FALSE),VLOOKUP(参数配置!$A$26,参数配置!$A$26:$I$38,{2,3,4,5,6,7,8,9},FALSE)),--(H33:O33&lt;&gt;"")),参数配置!$E$13*MAX(H33:O33)),2)))</f>
        <v/>
      </c>
      <c r="Q33" s="23">
        <f>IF($A33="","",IF(P33="","",ROUND(G33*P33,2)))</f>
        <v/>
      </c>
      <c r="R33" s="8">
        <f>IF($A33="","",IF(COUNTIFS(控制措施表!$B:$B,$A33,控制措施表!$C:$C,$F33,控制措施表!$F:$F,"是")=0,IF(COUNTIFS(控制措施表!$B:$B,$A33,控制措施表!$C:$C,$F33)=0,"",MINIFS(控制措施表!$E:$E,控制措施表!$B:$B,$A33,控制措施表!$C:$C,$F33)),MINIFS(控制措施表!$E:$E,控制措施表!$B:$B,$A33,控制措施表!$C:$C,$F33,控制措施表!$F:$F,"是")))</f>
        <v/>
      </c>
      <c r="S33" s="24">
        <f>IF($A33="","",IF(R33="",0,VLOOKUP(R33,参数配置!$D$4:$E$8,2,FALSE)))</f>
        <v/>
      </c>
      <c r="T33" s="23">
        <f>IF($A33="","",IF(Q33="","",ROUND(Q33*(1-S33),2)))</f>
        <v/>
      </c>
      <c r="U33" s="8">
        <f>IF($A33="","",IF(T33="","",IF(T33&gt;=参数配置!$B$14,"极高",IF(T33&gt;=参数配置!$B$15,"高",IF(T33&gt;=参数配置!$B$16,"中",IF(T33&gt;=参数配置!$B$17,"低","极低"))))))</f>
        <v/>
      </c>
      <c r="V33" s="8">
        <f>IF($A33="","",IF(P33="","",ROUND(P33,0)))</f>
        <v/>
      </c>
      <c r="W33" s="8">
        <f>IF($A33="","",IF(Q33="","",ROUND(Q33,0)))</f>
        <v/>
      </c>
      <c r="X33" s="8">
        <f>IF($A33="","",IF(U33="","",IF(U33="极高","每年必审",IF(U33="高","每年审计",IF(U33="中","两年一轮","按需抽查")))))</f>
        <v/>
      </c>
      <c r="Y33" s="24">
        <f>IF($A33="","",IF(OR(Q33="",Q33=0),"",(Q33-T33)/Q33))</f>
        <v/>
      </c>
      <c r="Z33" s="22" t="inlineStr">
        <is>
          <t>上期盘点差异率 0.8% 已整改；条码管理覆盖主要仓库</t>
        </is>
      </c>
    </row>
    <row r="34">
      <c r="A34" s="22" t="inlineStr">
        <is>
          <t>R016</t>
        </is>
      </c>
      <c r="B34" s="22" t="inlineStr">
        <is>
          <t>固定资产闲置低效</t>
        </is>
      </c>
      <c r="C34" s="22" t="inlineStr">
        <is>
          <t>资产管理</t>
        </is>
      </c>
      <c r="D34" s="22" t="inlineStr">
        <is>
          <t>大额设备长期闲置，投资决策论证不充分</t>
        </is>
      </c>
      <c r="E34" s="22" t="inlineStr">
        <is>
          <t>资产管理部</t>
        </is>
      </c>
      <c r="F34" s="22" t="inlineStr">
        <is>
          <t>2025H2</t>
        </is>
      </c>
      <c r="G34" s="10" t="n">
        <v>3</v>
      </c>
      <c r="H34" s="10" t="n">
        <v>4</v>
      </c>
      <c r="I34" s="10" t="n">
        <v>2</v>
      </c>
      <c r="J34" s="10" t="n">
        <v>4</v>
      </c>
      <c r="K34" s="10" t="n">
        <v>3</v>
      </c>
      <c r="L34" s="10" t="n">
        <v>2</v>
      </c>
      <c r="M34" s="10" t="n">
        <v>3</v>
      </c>
      <c r="N34" s="10" t="n">
        <v>1</v>
      </c>
      <c r="O34" s="10" t="n">
        <v>2</v>
      </c>
      <c r="P34" s="23">
        <f>IF($A34="","",IF(COUNT(H34:O34)=0,"",ROUND(MAX(SUMPRODUCT(H34:O34,IFERROR(VLOOKUP($C34,参数配置!$A$26:$I$38,{2,3,4,5,6,7,8,9},FALSE),VLOOKUP(参数配置!$A$26,参数配置!$A$26:$I$38,{2,3,4,5,6,7,8,9},FALSE)))/SUMPRODUCT(IFERROR(VLOOKUP($C34,参数配置!$A$26:$I$38,{2,3,4,5,6,7,8,9},FALSE),VLOOKUP(参数配置!$A$26,参数配置!$A$26:$I$38,{2,3,4,5,6,7,8,9},FALSE)),--(H34:O34&lt;&gt;"")),参数配置!$E$13*MAX(H34:O34)),2)))</f>
        <v/>
      </c>
      <c r="Q34" s="23">
        <f>IF($A34="","",IF(P34="","",ROUND(G34*P34,2)))</f>
        <v/>
      </c>
      <c r="R34" s="8">
        <f>IF($A34="","",IF(COUNTIFS(控制措施表!$B:$B,$A34,控制措施表!$C:$C,$F34,控制措施表!$F:$F,"是")=0,IF(COUNTIFS(控制措施表!$B:$B,$A34,控制措施表!$C:$C,$F34)=0,"",MINIFS(控制措施表!$E:$E,控制措施表!$B:$B,$A34,控制措施表!$C:$C,$F34)),MINIFS(控制措施表!$E:$E,控制措施表!$B:$B,$A34,控制措施表!$C:$C,$F34,控制措施表!$F:$F,"是")))</f>
        <v/>
      </c>
      <c r="S34" s="24">
        <f>IF($A34="","",IF(R34="",0,VLOOKUP(R34,参数配置!$D$4:$E$8,2,FALSE)))</f>
        <v/>
      </c>
      <c r="T34" s="23">
        <f>IF($A34="","",IF(Q34="","",ROUND(Q34*(1-S34),2)))</f>
        <v/>
      </c>
      <c r="U34" s="8">
        <f>IF($A34="","",IF(T34="","",IF(T34&gt;=参数配置!$B$14,"极高",IF(T34&gt;=参数配置!$B$15,"高",IF(T34&gt;=参数配置!$B$16,"中",IF(T34&gt;=参数配置!$B$17,"低","极低"))))))</f>
        <v/>
      </c>
      <c r="V34" s="8">
        <f>IF($A34="","",IF(P34="","",ROUND(P34,0)))</f>
        <v/>
      </c>
      <c r="W34" s="8">
        <f>IF($A34="","",IF(Q34="","",ROUND(Q34,0)))</f>
        <v/>
      </c>
      <c r="X34" s="8">
        <f>IF($A34="","",IF(U34="","",IF(U34="极高","每年必审",IF(U34="高","每年审计",IF(U34="中","两年一轮","按需抽查")))))</f>
        <v/>
      </c>
      <c r="Y34" s="24">
        <f>IF($A34="","",IF(OR(Q34="",Q34=0),"",(Q34-T34)/Q34))</f>
        <v/>
      </c>
      <c r="Z34" s="22" t="inlineStr">
        <is>
          <t>闲置设备原值 1,200 万元；投资后评价制度已发布</t>
        </is>
      </c>
    </row>
    <row r="35">
      <c r="A35" s="22" t="inlineStr">
        <is>
          <t>R016</t>
        </is>
      </c>
      <c r="B35" s="22" t="inlineStr">
        <is>
          <t>固定资产闲置低效</t>
        </is>
      </c>
      <c r="C35" s="22" t="inlineStr">
        <is>
          <t>资产管理</t>
        </is>
      </c>
      <c r="D35" s="22" t="inlineStr">
        <is>
          <t>大额设备长期闲置，投资决策论证不充分</t>
        </is>
      </c>
      <c r="E35" s="22" t="inlineStr">
        <is>
          <t>资产管理部</t>
        </is>
      </c>
      <c r="F35" s="22" t="inlineStr">
        <is>
          <t>2026H1</t>
        </is>
      </c>
      <c r="G35" s="10" t="n">
        <v>3</v>
      </c>
      <c r="H35" s="10" t="n">
        <v>4</v>
      </c>
      <c r="I35" s="10" t="n">
        <v>2</v>
      </c>
      <c r="J35" s="10" t="n">
        <v>3</v>
      </c>
      <c r="K35" s="10" t="n">
        <v>3</v>
      </c>
      <c r="L35" s="10" t="n">
        <v>2</v>
      </c>
      <c r="M35" s="10" t="n">
        <v>3</v>
      </c>
      <c r="N35" s="10" t="n">
        <v>1</v>
      </c>
      <c r="O35" s="10" t="n">
        <v>2</v>
      </c>
      <c r="P35" s="23">
        <f>IF($A35="","",IF(COUNT(H35:O35)=0,"",ROUND(MAX(SUMPRODUCT(H35:O35,IFERROR(VLOOKUP($C35,参数配置!$A$26:$I$38,{2,3,4,5,6,7,8,9},FALSE),VLOOKUP(参数配置!$A$26,参数配置!$A$26:$I$38,{2,3,4,5,6,7,8,9},FALSE)))/SUMPRODUCT(IFERROR(VLOOKUP($C35,参数配置!$A$26:$I$38,{2,3,4,5,6,7,8,9},FALSE),VLOOKUP(参数配置!$A$26,参数配置!$A$26:$I$38,{2,3,4,5,6,7,8,9},FALSE)),--(H35:O35&lt;&gt;"")),参数配置!$E$13*MAX(H35:O35)),2)))</f>
        <v/>
      </c>
      <c r="Q35" s="23">
        <f>IF($A35="","",IF(P35="","",ROUND(G35*P35,2)))</f>
        <v/>
      </c>
      <c r="R35" s="8">
        <f>IF($A35="","",IF(COUNTIFS(控制措施表!$B:$B,$A35,控制措施表!$C:$C,$F35,控制措施表!$F:$F,"是")=0,IF(COUNTIFS(控制措施表!$B:$B,$A35,控制措施表!$C:$C,$F35)=0,"",MINIFS(控制措施表!$E:$E,控制措施表!$B:$B,$A35,控制措施表!$C:$C,$F35)),MINIFS(控制措施表!$E:$E,控制措施表!$B:$B,$A35,控制措施表!$C:$C,$F35,控制措施表!$F:$F,"是")))</f>
        <v/>
      </c>
      <c r="S35" s="24">
        <f>IF($A35="","",IF(R35="",0,VLOOKUP(R35,参数配置!$D$4:$E$8,2,FALSE)))</f>
        <v/>
      </c>
      <c r="T35" s="23">
        <f>IF($A35="","",IF(Q35="","",ROUND(Q35*(1-S35),2)))</f>
        <v/>
      </c>
      <c r="U35" s="8">
        <f>IF($A35="","",IF(T35="","",IF(T35&gt;=参数配置!$B$14,"极高",IF(T35&gt;=参数配置!$B$15,"高",IF(T35&gt;=参数配置!$B$16,"中",IF(T35&gt;=参数配置!$B$17,"低","极低"))))))</f>
        <v/>
      </c>
      <c r="V35" s="8">
        <f>IF($A35="","",IF(P35="","",ROUND(P35,0)))</f>
        <v/>
      </c>
      <c r="W35" s="8">
        <f>IF($A35="","",IF(Q35="","",ROUND(Q35,0)))</f>
        <v/>
      </c>
      <c r="X35" s="8">
        <f>IF($A35="","",IF(U35="","",IF(U35="极高","每年必审",IF(U35="高","每年审计",IF(U35="中","两年一轮","按需抽查")))))</f>
        <v/>
      </c>
      <c r="Y35" s="24">
        <f>IF($A35="","",IF(OR(Q35="",Q35=0),"",(Q35-T35)/Q35))</f>
        <v/>
      </c>
      <c r="Z35" s="22" t="inlineStr">
        <is>
          <t>闲置设备原值 1,200 万元；投资后评价制度已发布</t>
        </is>
      </c>
    </row>
    <row r="36">
      <c r="A36" s="22" t="inlineStr">
        <is>
          <t>R017</t>
        </is>
      </c>
      <c r="B36" s="22" t="inlineStr">
        <is>
          <t>重大投资决策论证不足</t>
        </is>
      </c>
      <c r="C36" s="22" t="inlineStr">
        <is>
          <t>战略与投资</t>
        </is>
      </c>
      <c r="D36" s="22" t="inlineStr">
        <is>
          <t>重大投资项目可行性论证不充分，决策失误造成损失</t>
        </is>
      </c>
      <c r="E36" s="22" t="inlineStr">
        <is>
          <t>投资发展部</t>
        </is>
      </c>
      <c r="F36" s="22" t="inlineStr">
        <is>
          <t>2025H2</t>
        </is>
      </c>
      <c r="G36" s="10" t="n">
        <v>4</v>
      </c>
      <c r="H36" s="10" t="n">
        <v>5</v>
      </c>
      <c r="I36" s="10" t="n">
        <v>2</v>
      </c>
      <c r="J36" s="10" t="n">
        <v>3</v>
      </c>
      <c r="K36" s="10" t="n">
        <v>4</v>
      </c>
      <c r="L36" s="10" t="n">
        <v>2</v>
      </c>
      <c r="M36" s="10" t="n">
        <v>5</v>
      </c>
      <c r="N36" s="10" t="n">
        <v>2</v>
      </c>
      <c r="O36" s="10" t="n">
        <v>3</v>
      </c>
      <c r="P36" s="23">
        <f>IF($A36="","",IF(COUNT(H36:O36)=0,"",ROUND(MAX(SUMPRODUCT(H36:O36,IFERROR(VLOOKUP($C36,参数配置!$A$26:$I$38,{2,3,4,5,6,7,8,9},FALSE),VLOOKUP(参数配置!$A$26,参数配置!$A$26:$I$38,{2,3,4,5,6,7,8,9},FALSE)))/SUMPRODUCT(IFERROR(VLOOKUP($C36,参数配置!$A$26:$I$38,{2,3,4,5,6,7,8,9},FALSE),VLOOKUP(参数配置!$A$26,参数配置!$A$26:$I$38,{2,3,4,5,6,7,8,9},FALSE)),--(H36:O36&lt;&gt;"")),参数配置!$E$13*MAX(H36:O36)),2)))</f>
        <v/>
      </c>
      <c r="Q36" s="23">
        <f>IF($A36="","",IF(P36="","",ROUND(G36*P36,2)))</f>
        <v/>
      </c>
      <c r="R36" s="8">
        <f>IF($A36="","",IF(COUNTIFS(控制措施表!$B:$B,$A36,控制措施表!$C:$C,$F36,控制措施表!$F:$F,"是")=0,IF(COUNTIFS(控制措施表!$B:$B,$A36,控制措施表!$C:$C,$F36)=0,"",MINIFS(控制措施表!$E:$E,控制措施表!$B:$B,$A36,控制措施表!$C:$C,$F36)),MINIFS(控制措施表!$E:$E,控制措施表!$B:$B,$A36,控制措施表!$C:$C,$F36,控制措施表!$F:$F,"是")))</f>
        <v/>
      </c>
      <c r="S36" s="24">
        <f>IF($A36="","",IF(R36="",0,VLOOKUP(R36,参数配置!$D$4:$E$8,2,FALSE)))</f>
        <v/>
      </c>
      <c r="T36" s="23">
        <f>IF($A36="","",IF(Q36="","",ROUND(Q36*(1-S36),2)))</f>
        <v/>
      </c>
      <c r="U36" s="8">
        <f>IF($A36="","",IF(T36="","",IF(T36&gt;=参数配置!$B$14,"极高",IF(T36&gt;=参数配置!$B$15,"高",IF(T36&gt;=参数配置!$B$16,"中",IF(T36&gt;=参数配置!$B$17,"低","极低"))))))</f>
        <v/>
      </c>
      <c r="V36" s="8">
        <f>IF($A36="","",IF(P36="","",ROUND(P36,0)))</f>
        <v/>
      </c>
      <c r="W36" s="8">
        <f>IF($A36="","",IF(Q36="","",ROUND(Q36,0)))</f>
        <v/>
      </c>
      <c r="X36" s="8">
        <f>IF($A36="","",IF(U36="","",IF(U36="极高","每年必审",IF(U36="高","每年审计",IF(U36="中","两年一轮","按需抽查")))))</f>
        <v/>
      </c>
      <c r="Y36" s="24">
        <f>IF($A36="","",IF(OR(Q36="",Q36=0),"",(Q36-T36)/Q36))</f>
        <v/>
      </c>
      <c r="Z36" s="22" t="inlineStr">
        <is>
          <t>上年度两个投资项目未达可研预期收益；董事会决策留痕不全</t>
        </is>
      </c>
    </row>
    <row r="37">
      <c r="A37" s="22" t="inlineStr">
        <is>
          <t>R017</t>
        </is>
      </c>
      <c r="B37" s="22" t="inlineStr">
        <is>
          <t>重大投资决策论证不足</t>
        </is>
      </c>
      <c r="C37" s="22" t="inlineStr">
        <is>
          <t>战略与投资</t>
        </is>
      </c>
      <c r="D37" s="22" t="inlineStr">
        <is>
          <t>重大投资项目可行性论证不充分，决策失误造成损失</t>
        </is>
      </c>
      <c r="E37" s="22" t="inlineStr">
        <is>
          <t>投资发展部</t>
        </is>
      </c>
      <c r="F37" s="22" t="inlineStr">
        <is>
          <t>2026H1</t>
        </is>
      </c>
      <c r="G37" s="10" t="n">
        <v>3</v>
      </c>
      <c r="H37" s="10" t="n">
        <v>5</v>
      </c>
      <c r="I37" s="10" t="n">
        <v>2</v>
      </c>
      <c r="J37" s="10" t="n">
        <v>3</v>
      </c>
      <c r="K37" s="10" t="n">
        <v>4</v>
      </c>
      <c r="L37" s="10" t="n">
        <v>2</v>
      </c>
      <c r="M37" s="10" t="n">
        <v>5</v>
      </c>
      <c r="N37" s="10" t="n">
        <v>2</v>
      </c>
      <c r="O37" s="10" t="n">
        <v>3</v>
      </c>
      <c r="P37" s="23">
        <f>IF($A37="","",IF(COUNT(H37:O37)=0,"",ROUND(MAX(SUMPRODUCT(H37:O37,IFERROR(VLOOKUP($C37,参数配置!$A$26:$I$38,{2,3,4,5,6,7,8,9},FALSE),VLOOKUP(参数配置!$A$26,参数配置!$A$26:$I$38,{2,3,4,5,6,7,8,9},FALSE)))/SUMPRODUCT(IFERROR(VLOOKUP($C37,参数配置!$A$26:$I$38,{2,3,4,5,6,7,8,9},FALSE),VLOOKUP(参数配置!$A$26,参数配置!$A$26:$I$38,{2,3,4,5,6,7,8,9},FALSE)),--(H37:O37&lt;&gt;"")),参数配置!$E$13*MAX(H37:O37)),2)))</f>
        <v/>
      </c>
      <c r="Q37" s="23">
        <f>IF($A37="","",IF(P37="","",ROUND(G37*P37,2)))</f>
        <v/>
      </c>
      <c r="R37" s="8">
        <f>IF($A37="","",IF(COUNTIFS(控制措施表!$B:$B,$A37,控制措施表!$C:$C,$F37,控制措施表!$F:$F,"是")=0,IF(COUNTIFS(控制措施表!$B:$B,$A37,控制措施表!$C:$C,$F37)=0,"",MINIFS(控制措施表!$E:$E,控制措施表!$B:$B,$A37,控制措施表!$C:$C,$F37)),MINIFS(控制措施表!$E:$E,控制措施表!$B:$B,$A37,控制措施表!$C:$C,$F37,控制措施表!$F:$F,"是")))</f>
        <v/>
      </c>
      <c r="S37" s="24">
        <f>IF($A37="","",IF(R37="",0,VLOOKUP(R37,参数配置!$D$4:$E$8,2,FALSE)))</f>
        <v/>
      </c>
      <c r="T37" s="23">
        <f>IF($A37="","",IF(Q37="","",ROUND(Q37*(1-S37),2)))</f>
        <v/>
      </c>
      <c r="U37" s="8">
        <f>IF($A37="","",IF(T37="","",IF(T37&gt;=参数配置!$B$14,"极高",IF(T37&gt;=参数配置!$B$15,"高",IF(T37&gt;=参数配置!$B$16,"中",IF(T37&gt;=参数配置!$B$17,"低","极低"))))))</f>
        <v/>
      </c>
      <c r="V37" s="8">
        <f>IF($A37="","",IF(P37="","",ROUND(P37,0)))</f>
        <v/>
      </c>
      <c r="W37" s="8">
        <f>IF($A37="","",IF(Q37="","",ROUND(Q37,0)))</f>
        <v/>
      </c>
      <c r="X37" s="8">
        <f>IF($A37="","",IF(U37="","",IF(U37="极高","每年必审",IF(U37="高","每年审计",IF(U37="中","两年一轮","按需抽查")))))</f>
        <v/>
      </c>
      <c r="Y37" s="24">
        <f>IF($A37="","",IF(OR(Q37="",Q37=0),"",(Q37-T37)/Q37))</f>
        <v/>
      </c>
      <c r="Z37" s="22" t="inlineStr">
        <is>
          <t>上年度两个投资项目未达可研预期收益；董事会决策留痕不全</t>
        </is>
      </c>
    </row>
    <row r="38">
      <c r="A38" s="22" t="inlineStr">
        <is>
          <t>R018</t>
        </is>
      </c>
      <c r="B38" s="22" t="inlineStr">
        <is>
          <t>“三重一大”决策程序执行不到位</t>
        </is>
      </c>
      <c r="C38" s="22" t="inlineStr">
        <is>
          <t>治理与决策</t>
        </is>
      </c>
      <c r="D38" s="22" t="inlineStr">
        <is>
          <t>重大事项未履行集体决策或前置程序，决策留痕不全</t>
        </is>
      </c>
      <c r="E38" s="22" t="inlineStr">
        <is>
          <t>董事会办公室</t>
        </is>
      </c>
      <c r="F38" s="22" t="inlineStr">
        <is>
          <t>2025H2</t>
        </is>
      </c>
      <c r="G38" s="10" t="n">
        <v>3</v>
      </c>
      <c r="H38" s="10" t="n">
        <v>4</v>
      </c>
      <c r="I38" s="10" t="n">
        <v>4</v>
      </c>
      <c r="J38" s="10" t="n">
        <v>3</v>
      </c>
      <c r="K38" s="10" t="n">
        <v>4</v>
      </c>
      <c r="L38" s="10" t="n">
        <v>3</v>
      </c>
      <c r="M38" s="10" t="n">
        <v>5</v>
      </c>
      <c r="N38" s="10" t="n">
        <v>2</v>
      </c>
      <c r="P38" s="23">
        <f>IF($A38="","",IF(COUNT(H38:O38)=0,"",ROUND(MAX(SUMPRODUCT(H38:O38,IFERROR(VLOOKUP($C38,参数配置!$A$26:$I$38,{2,3,4,5,6,7,8,9},FALSE),VLOOKUP(参数配置!$A$26,参数配置!$A$26:$I$38,{2,3,4,5,6,7,8,9},FALSE)))/SUMPRODUCT(IFERROR(VLOOKUP($C38,参数配置!$A$26:$I$38,{2,3,4,5,6,7,8,9},FALSE),VLOOKUP(参数配置!$A$26,参数配置!$A$26:$I$38,{2,3,4,5,6,7,8,9},FALSE)),--(H38:O38&lt;&gt;"")),参数配置!$E$13*MAX(H38:O38)),2)))</f>
        <v/>
      </c>
      <c r="Q38" s="23">
        <f>IF($A38="","",IF(P38="","",ROUND(G38*P38,2)))</f>
        <v/>
      </c>
      <c r="R38" s="8">
        <f>IF($A38="","",IF(COUNTIFS(控制措施表!$B:$B,$A38,控制措施表!$C:$C,$F38,控制措施表!$F:$F,"是")=0,IF(COUNTIFS(控制措施表!$B:$B,$A38,控制措施表!$C:$C,$F38)=0,"",MINIFS(控制措施表!$E:$E,控制措施表!$B:$B,$A38,控制措施表!$C:$C,$F38)),MINIFS(控制措施表!$E:$E,控制措施表!$B:$B,$A38,控制措施表!$C:$C,$F38,控制措施表!$F:$F,"是")))</f>
        <v/>
      </c>
      <c r="S38" s="24">
        <f>IF($A38="","",IF(R38="",0,VLOOKUP(R38,参数配置!$D$4:$E$8,2,FALSE)))</f>
        <v/>
      </c>
      <c r="T38" s="23">
        <f>IF($A38="","",IF(Q38="","",ROUND(Q38*(1-S38),2)))</f>
        <v/>
      </c>
      <c r="U38" s="8">
        <f>IF($A38="","",IF(T38="","",IF(T38&gt;=参数配置!$B$14,"极高",IF(T38&gt;=参数配置!$B$15,"高",IF(T38&gt;=参数配置!$B$16,"中",IF(T38&gt;=参数配置!$B$17,"低","极低"))))))</f>
        <v/>
      </c>
      <c r="V38" s="8">
        <f>IF($A38="","",IF(P38="","",ROUND(P38,0)))</f>
        <v/>
      </c>
      <c r="W38" s="8">
        <f>IF($A38="","",IF(Q38="","",ROUND(Q38,0)))</f>
        <v/>
      </c>
      <c r="X38" s="8">
        <f>IF($A38="","",IF(U38="","",IF(U38="极高","每年必审",IF(U38="高","每年审计",IF(U38="中","两年一轮","按需抽查")))))</f>
        <v/>
      </c>
      <c r="Y38" s="24">
        <f>IF($A38="","",IF(OR(Q38="",Q38=0),"",(Q38-T38)/Q38))</f>
        <v/>
      </c>
      <c r="Z38" s="22" t="inlineStr">
        <is>
          <t>审计发现 2 项大额事项未见集体决策记录</t>
        </is>
      </c>
    </row>
    <row r="39">
      <c r="A39" s="22" t="inlineStr">
        <is>
          <t>R018</t>
        </is>
      </c>
      <c r="B39" s="22" t="inlineStr">
        <is>
          <t>“三重一大”决策程序执行不到位</t>
        </is>
      </c>
      <c r="C39" s="22" t="inlineStr">
        <is>
          <t>治理与决策</t>
        </is>
      </c>
      <c r="D39" s="22" t="inlineStr">
        <is>
          <t>重大事项未履行集体决策或前置程序，决策留痕不全</t>
        </is>
      </c>
      <c r="E39" s="22" t="inlineStr">
        <is>
          <t>董事会办公室</t>
        </is>
      </c>
      <c r="F39" s="22" t="inlineStr">
        <is>
          <t>2026H1</t>
        </is>
      </c>
      <c r="G39" s="10" t="n">
        <v>2</v>
      </c>
      <c r="H39" s="10" t="n">
        <v>4</v>
      </c>
      <c r="I39" s="10" t="n">
        <v>4</v>
      </c>
      <c r="J39" s="10" t="n">
        <v>3</v>
      </c>
      <c r="K39" s="10" t="n">
        <v>4</v>
      </c>
      <c r="L39" s="10" t="n">
        <v>3</v>
      </c>
      <c r="M39" s="10" t="n">
        <v>5</v>
      </c>
      <c r="N39" s="10" t="n">
        <v>2</v>
      </c>
      <c r="P39" s="23">
        <f>IF($A39="","",IF(COUNT(H39:O39)=0,"",ROUND(MAX(SUMPRODUCT(H39:O39,IFERROR(VLOOKUP($C39,参数配置!$A$26:$I$38,{2,3,4,5,6,7,8,9},FALSE),VLOOKUP(参数配置!$A$26,参数配置!$A$26:$I$38,{2,3,4,5,6,7,8,9},FALSE)))/SUMPRODUCT(IFERROR(VLOOKUP($C39,参数配置!$A$26:$I$38,{2,3,4,5,6,7,8,9},FALSE),VLOOKUP(参数配置!$A$26,参数配置!$A$26:$I$38,{2,3,4,5,6,7,8,9},FALSE)),--(H39:O39&lt;&gt;"")),参数配置!$E$13*MAX(H39:O39)),2)))</f>
        <v/>
      </c>
      <c r="Q39" s="23">
        <f>IF($A39="","",IF(P39="","",ROUND(G39*P39,2)))</f>
        <v/>
      </c>
      <c r="R39" s="8">
        <f>IF($A39="","",IF(COUNTIFS(控制措施表!$B:$B,$A39,控制措施表!$C:$C,$F39,控制措施表!$F:$F,"是")=0,IF(COUNTIFS(控制措施表!$B:$B,$A39,控制措施表!$C:$C,$F39)=0,"",MINIFS(控制措施表!$E:$E,控制措施表!$B:$B,$A39,控制措施表!$C:$C,$F39)),MINIFS(控制措施表!$E:$E,控制措施表!$B:$B,$A39,控制措施表!$C:$C,$F39,控制措施表!$F:$F,"是")))</f>
        <v/>
      </c>
      <c r="S39" s="24">
        <f>IF($A39="","",IF(R39="",0,VLOOKUP(R39,参数配置!$D$4:$E$8,2,FALSE)))</f>
        <v/>
      </c>
      <c r="T39" s="23">
        <f>IF($A39="","",IF(Q39="","",ROUND(Q39*(1-S39),2)))</f>
        <v/>
      </c>
      <c r="U39" s="8">
        <f>IF($A39="","",IF(T39="","",IF(T39&gt;=参数配置!$B$14,"极高",IF(T39&gt;=参数配置!$B$15,"高",IF(T39&gt;=参数配置!$B$16,"中",IF(T39&gt;=参数配置!$B$17,"低","极低"))))))</f>
        <v/>
      </c>
      <c r="V39" s="8">
        <f>IF($A39="","",IF(P39="","",ROUND(P39,0)))</f>
        <v/>
      </c>
      <c r="W39" s="8">
        <f>IF($A39="","",IF(Q39="","",ROUND(Q39,0)))</f>
        <v/>
      </c>
      <c r="X39" s="8">
        <f>IF($A39="","",IF(U39="","",IF(U39="极高","每年必审",IF(U39="高","每年审计",IF(U39="中","两年一轮","按需抽查")))))</f>
        <v/>
      </c>
      <c r="Y39" s="24">
        <f>IF($A39="","",IF(OR(Q39="",Q39=0),"",(Q39-T39)/Q39))</f>
        <v/>
      </c>
      <c r="Z39" s="22" t="inlineStr">
        <is>
          <t>审计发现 2 项大额事项未见集体决策记录</t>
        </is>
      </c>
    </row>
    <row r="40">
      <c r="A40" s="22" t="inlineStr">
        <is>
          <t>R019</t>
        </is>
      </c>
      <c r="B40" s="22" t="inlineStr">
        <is>
          <t>税务申报与筹划合规</t>
        </is>
      </c>
      <c r="C40" s="22" t="inlineStr">
        <is>
          <t>财务报告与税务</t>
        </is>
      </c>
      <c r="D40" s="22" t="inlineStr">
        <is>
          <t>税务申报差错与筹划激进，引发补税罚款与信用降级</t>
        </is>
      </c>
      <c r="E40" s="22" t="inlineStr">
        <is>
          <t>财务部</t>
        </is>
      </c>
      <c r="F40" s="22" t="inlineStr">
        <is>
          <t>2025H2</t>
        </is>
      </c>
      <c r="G40" s="10" t="n">
        <v>3</v>
      </c>
      <c r="H40" s="10" t="n">
        <v>4</v>
      </c>
      <c r="I40" s="10" t="n">
        <v>5</v>
      </c>
      <c r="J40" s="10" t="n">
        <v>2</v>
      </c>
      <c r="K40" s="10" t="n">
        <v>3</v>
      </c>
      <c r="L40" s="10" t="n">
        <v>1</v>
      </c>
      <c r="M40" s="10" t="n">
        <v>3</v>
      </c>
      <c r="N40" s="10" t="n">
        <v>3</v>
      </c>
      <c r="P40" s="23">
        <f>IF($A40="","",IF(COUNT(H40:O40)=0,"",ROUND(MAX(SUMPRODUCT(H40:O40,IFERROR(VLOOKUP($C40,参数配置!$A$26:$I$38,{2,3,4,5,6,7,8,9},FALSE),VLOOKUP(参数配置!$A$26,参数配置!$A$26:$I$38,{2,3,4,5,6,7,8,9},FALSE)))/SUMPRODUCT(IFERROR(VLOOKUP($C40,参数配置!$A$26:$I$38,{2,3,4,5,6,7,8,9},FALSE),VLOOKUP(参数配置!$A$26,参数配置!$A$26:$I$38,{2,3,4,5,6,7,8,9},FALSE)),--(H40:O40&lt;&gt;"")),参数配置!$E$13*MAX(H40:O40)),2)))</f>
        <v/>
      </c>
      <c r="Q40" s="23">
        <f>IF($A40="","",IF(P40="","",ROUND(G40*P40,2)))</f>
        <v/>
      </c>
      <c r="R40" s="8">
        <f>IF($A40="","",IF(COUNTIFS(控制措施表!$B:$B,$A40,控制措施表!$C:$C,$F40,控制措施表!$F:$F,"是")=0,IF(COUNTIFS(控制措施表!$B:$B,$A40,控制措施表!$C:$C,$F40)=0,"",MINIFS(控制措施表!$E:$E,控制措施表!$B:$B,$A40,控制措施表!$C:$C,$F40)),MINIFS(控制措施表!$E:$E,控制措施表!$B:$B,$A40,控制措施表!$C:$C,$F40,控制措施表!$F:$F,"是")))</f>
        <v/>
      </c>
      <c r="S40" s="24">
        <f>IF($A40="","",IF(R40="",0,VLOOKUP(R40,参数配置!$D$4:$E$8,2,FALSE)))</f>
        <v/>
      </c>
      <c r="T40" s="23">
        <f>IF($A40="","",IF(Q40="","",ROUND(Q40*(1-S40),2)))</f>
        <v/>
      </c>
      <c r="U40" s="8">
        <f>IF($A40="","",IF(T40="","",IF(T40&gt;=参数配置!$B$14,"极高",IF(T40&gt;=参数配置!$B$15,"高",IF(T40&gt;=参数配置!$B$16,"中",IF(T40&gt;=参数配置!$B$17,"低","极低"))))))</f>
        <v/>
      </c>
      <c r="V40" s="8">
        <f>IF($A40="","",IF(P40="","",ROUND(P40,0)))</f>
        <v/>
      </c>
      <c r="W40" s="8">
        <f>IF($A40="","",IF(Q40="","",ROUND(Q40,0)))</f>
        <v/>
      </c>
      <c r="X40" s="8">
        <f>IF($A40="","",IF(U40="","",IF(U40="极高","每年必审",IF(U40="高","每年审计",IF(U40="中","两年一轮","按需抽查")))))</f>
        <v/>
      </c>
      <c r="Y40" s="24">
        <f>IF($A40="","",IF(OR(Q40="",Q40=0),"",(Q40-T40)/Q40))</f>
        <v/>
      </c>
      <c r="Z40" s="22" t="inlineStr">
        <is>
          <t>上年度汇算清缴调整事项 5 项；无税务处罚记录</t>
        </is>
      </c>
    </row>
    <row r="41">
      <c r="A41" s="22" t="inlineStr">
        <is>
          <t>R019</t>
        </is>
      </c>
      <c r="B41" s="22" t="inlineStr">
        <is>
          <t>税务申报与筹划合规</t>
        </is>
      </c>
      <c r="C41" s="22" t="inlineStr">
        <is>
          <t>财务报告与税务</t>
        </is>
      </c>
      <c r="D41" s="22" t="inlineStr">
        <is>
          <t>税务申报差错与筹划激进，引发补税罚款与信用降级</t>
        </is>
      </c>
      <c r="E41" s="22" t="inlineStr">
        <is>
          <t>财务部</t>
        </is>
      </c>
      <c r="F41" s="22" t="inlineStr">
        <is>
          <t>2026H1</t>
        </is>
      </c>
      <c r="G41" s="10" t="n">
        <v>2</v>
      </c>
      <c r="H41" s="10" t="n">
        <v>4</v>
      </c>
      <c r="I41" s="10" t="n">
        <v>5</v>
      </c>
      <c r="J41" s="10" t="n">
        <v>2</v>
      </c>
      <c r="K41" s="10" t="n">
        <v>3</v>
      </c>
      <c r="L41" s="10" t="n">
        <v>1</v>
      </c>
      <c r="M41" s="10" t="n">
        <v>3</v>
      </c>
      <c r="N41" s="10" t="n">
        <v>3</v>
      </c>
      <c r="P41" s="23">
        <f>IF($A41="","",IF(COUNT(H41:O41)=0,"",ROUND(MAX(SUMPRODUCT(H41:O41,IFERROR(VLOOKUP($C41,参数配置!$A$26:$I$38,{2,3,4,5,6,7,8,9},FALSE),VLOOKUP(参数配置!$A$26,参数配置!$A$26:$I$38,{2,3,4,5,6,7,8,9},FALSE)))/SUMPRODUCT(IFERROR(VLOOKUP($C41,参数配置!$A$26:$I$38,{2,3,4,5,6,7,8,9},FALSE),VLOOKUP(参数配置!$A$26,参数配置!$A$26:$I$38,{2,3,4,5,6,7,8,9},FALSE)),--(H41:O41&lt;&gt;"")),参数配置!$E$13*MAX(H41:O41)),2)))</f>
        <v/>
      </c>
      <c r="Q41" s="23">
        <f>IF($A41="","",IF(P41="","",ROUND(G41*P41,2)))</f>
        <v/>
      </c>
      <c r="R41" s="8">
        <f>IF($A41="","",IF(COUNTIFS(控制措施表!$B:$B,$A41,控制措施表!$C:$C,$F41,控制措施表!$F:$F,"是")=0,IF(COUNTIFS(控制措施表!$B:$B,$A41,控制措施表!$C:$C,$F41)=0,"",MINIFS(控制措施表!$E:$E,控制措施表!$B:$B,$A41,控制措施表!$C:$C,$F41)),MINIFS(控制措施表!$E:$E,控制措施表!$B:$B,$A41,控制措施表!$C:$C,$F41,控制措施表!$F:$F,"是")))</f>
        <v/>
      </c>
      <c r="S41" s="24">
        <f>IF($A41="","",IF(R41="",0,VLOOKUP(R41,参数配置!$D$4:$E$8,2,FALSE)))</f>
        <v/>
      </c>
      <c r="T41" s="23">
        <f>IF($A41="","",IF(Q41="","",ROUND(Q41*(1-S41),2)))</f>
        <v/>
      </c>
      <c r="U41" s="8">
        <f>IF($A41="","",IF(T41="","",IF(T41&gt;=参数配置!$B$14,"极高",IF(T41&gt;=参数配置!$B$15,"高",IF(T41&gt;=参数配置!$B$16,"中",IF(T41&gt;=参数配置!$B$17,"低","极低"))))))</f>
        <v/>
      </c>
      <c r="V41" s="8">
        <f>IF($A41="","",IF(P41="","",ROUND(P41,0)))</f>
        <v/>
      </c>
      <c r="W41" s="8">
        <f>IF($A41="","",IF(Q41="","",ROUND(Q41,0)))</f>
        <v/>
      </c>
      <c r="X41" s="8">
        <f>IF($A41="","",IF(U41="","",IF(U41="极高","每年必审",IF(U41="高","每年审计",IF(U41="中","两年一轮","按需抽查")))))</f>
        <v/>
      </c>
      <c r="Y41" s="24">
        <f>IF($A41="","",IF(OR(Q41="",Q41=0),"",(Q41-T41)/Q41))</f>
        <v/>
      </c>
      <c r="Z41" s="22" t="inlineStr">
        <is>
          <t>上年度汇算清缴调整事项 5 项；无税务处罚记录</t>
        </is>
      </c>
    </row>
    <row r="42">
      <c r="A42" s="22" t="inlineStr">
        <is>
          <t>R020</t>
        </is>
      </c>
      <c r="B42" s="22" t="inlineStr">
        <is>
          <t>合同履约与变更管理</t>
        </is>
      </c>
      <c r="C42" s="22" t="inlineStr">
        <is>
          <t>合同管理</t>
        </is>
      </c>
      <c r="D42" s="22" t="inlineStr">
        <is>
          <t>履约跟踪不到位，变更与索赔管理失控</t>
        </is>
      </c>
      <c r="E42" s="22" t="inlineStr">
        <is>
          <t>法务部</t>
        </is>
      </c>
      <c r="F42" s="22" t="inlineStr">
        <is>
          <t>2025H2</t>
        </is>
      </c>
      <c r="G42" s="10" t="n">
        <v>3</v>
      </c>
      <c r="H42" s="10" t="n">
        <v>4</v>
      </c>
      <c r="I42" s="10" t="n">
        <v>3</v>
      </c>
      <c r="J42" s="10" t="n">
        <v>4</v>
      </c>
      <c r="K42" s="10" t="n">
        <v>3</v>
      </c>
      <c r="L42" s="10" t="n">
        <v>3</v>
      </c>
      <c r="M42" s="10" t="n">
        <v>3</v>
      </c>
      <c r="N42" s="10" t="n">
        <v>2</v>
      </c>
      <c r="O42" s="10" t="n">
        <v>2</v>
      </c>
      <c r="P42" s="23">
        <f>IF($A42="","",IF(COUNT(H42:O42)=0,"",ROUND(MAX(SUMPRODUCT(H42:O42,IFERROR(VLOOKUP($C42,参数配置!$A$26:$I$38,{2,3,4,5,6,7,8,9},FALSE),VLOOKUP(参数配置!$A$26,参数配置!$A$26:$I$38,{2,3,4,5,6,7,8,9},FALSE)))/SUMPRODUCT(IFERROR(VLOOKUP($C42,参数配置!$A$26:$I$38,{2,3,4,5,6,7,8,9},FALSE),VLOOKUP(参数配置!$A$26,参数配置!$A$26:$I$38,{2,3,4,5,6,7,8,9},FALSE)),--(H42:O42&lt;&gt;"")),参数配置!$E$13*MAX(H42:O42)),2)))</f>
        <v/>
      </c>
      <c r="Q42" s="23">
        <f>IF($A42="","",IF(P42="","",ROUND(G42*P42,2)))</f>
        <v/>
      </c>
      <c r="R42" s="8">
        <f>IF($A42="","",IF(COUNTIFS(控制措施表!$B:$B,$A42,控制措施表!$C:$C,$F42,控制措施表!$F:$F,"是")=0,IF(COUNTIFS(控制措施表!$B:$B,$A42,控制措施表!$C:$C,$F42)=0,"",MINIFS(控制措施表!$E:$E,控制措施表!$B:$B,$A42,控制措施表!$C:$C,$F42)),MINIFS(控制措施表!$E:$E,控制措施表!$B:$B,$A42,控制措施表!$C:$C,$F42,控制措施表!$F:$F,"是")))</f>
        <v/>
      </c>
      <c r="S42" s="24">
        <f>IF($A42="","",IF(R42="",0,VLOOKUP(R42,参数配置!$D$4:$E$8,2,FALSE)))</f>
        <v/>
      </c>
      <c r="T42" s="23">
        <f>IF($A42="","",IF(Q42="","",ROUND(Q42*(1-S42),2)))</f>
        <v/>
      </c>
      <c r="U42" s="8">
        <f>IF($A42="","",IF(T42="","",IF(T42&gt;=参数配置!$B$14,"极高",IF(T42&gt;=参数配置!$B$15,"高",IF(T42&gt;=参数配置!$B$16,"中",IF(T42&gt;=参数配置!$B$17,"低","极低"))))))</f>
        <v/>
      </c>
      <c r="V42" s="8">
        <f>IF($A42="","",IF(P42="","",ROUND(P42,0)))</f>
        <v/>
      </c>
      <c r="W42" s="8">
        <f>IF($A42="","",IF(Q42="","",ROUND(Q42,0)))</f>
        <v/>
      </c>
      <c r="X42" s="8">
        <f>IF($A42="","",IF(U42="","",IF(U42="极高","每年必审",IF(U42="高","每年审计",IF(U42="中","两年一轮","按需抽查")))))</f>
        <v/>
      </c>
      <c r="Y42" s="24">
        <f>IF($A42="","",IF(OR(Q42="",Q42=0),"",(Q42-T42)/Q42))</f>
        <v/>
      </c>
      <c r="Z42" s="22" t="inlineStr">
        <is>
          <t>履约台账覆盖率 70%；2 份合同变更未走审批</t>
        </is>
      </c>
    </row>
    <row r="43">
      <c r="A43" s="22" t="inlineStr">
        <is>
          <t>R020</t>
        </is>
      </c>
      <c r="B43" s="22" t="inlineStr">
        <is>
          <t>合同履约与变更管理</t>
        </is>
      </c>
      <c r="C43" s="22" t="inlineStr">
        <is>
          <t>合同管理</t>
        </is>
      </c>
      <c r="D43" s="22" t="inlineStr">
        <is>
          <t>履约跟踪不到位，变更与索赔管理失控</t>
        </is>
      </c>
      <c r="E43" s="22" t="inlineStr">
        <is>
          <t>法务部</t>
        </is>
      </c>
      <c r="F43" s="22" t="inlineStr">
        <is>
          <t>2026H1</t>
        </is>
      </c>
      <c r="G43" s="10" t="n">
        <v>3</v>
      </c>
      <c r="H43" s="10" t="n">
        <v>4</v>
      </c>
      <c r="I43" s="10" t="n">
        <v>3</v>
      </c>
      <c r="J43" s="10" t="n">
        <v>4</v>
      </c>
      <c r="K43" s="10" t="n">
        <v>2</v>
      </c>
      <c r="L43" s="10" t="n">
        <v>2</v>
      </c>
      <c r="M43" s="10" t="n">
        <v>3</v>
      </c>
      <c r="N43" s="10" t="n">
        <v>2</v>
      </c>
      <c r="O43" s="10" t="n">
        <v>2</v>
      </c>
      <c r="P43" s="23">
        <f>IF($A43="","",IF(COUNT(H43:O43)=0,"",ROUND(MAX(SUMPRODUCT(H43:O43,IFERROR(VLOOKUP($C43,参数配置!$A$26:$I$38,{2,3,4,5,6,7,8,9},FALSE),VLOOKUP(参数配置!$A$26,参数配置!$A$26:$I$38,{2,3,4,5,6,7,8,9},FALSE)))/SUMPRODUCT(IFERROR(VLOOKUP($C43,参数配置!$A$26:$I$38,{2,3,4,5,6,7,8,9},FALSE),VLOOKUP(参数配置!$A$26,参数配置!$A$26:$I$38,{2,3,4,5,6,7,8,9},FALSE)),--(H43:O43&lt;&gt;"")),参数配置!$E$13*MAX(H43:O43)),2)))</f>
        <v/>
      </c>
      <c r="Q43" s="23">
        <f>IF($A43="","",IF(P43="","",ROUND(G43*P43,2)))</f>
        <v/>
      </c>
      <c r="R43" s="8">
        <f>IF($A43="","",IF(COUNTIFS(控制措施表!$B:$B,$A43,控制措施表!$C:$C,$F43,控制措施表!$F:$F,"是")=0,IF(COUNTIFS(控制措施表!$B:$B,$A43,控制措施表!$C:$C,$F43)=0,"",MINIFS(控制措施表!$E:$E,控制措施表!$B:$B,$A43,控制措施表!$C:$C,$F43)),MINIFS(控制措施表!$E:$E,控制措施表!$B:$B,$A43,控制措施表!$C:$C,$F43,控制措施表!$F:$F,"是")))</f>
        <v/>
      </c>
      <c r="S43" s="24">
        <f>IF($A43="","",IF(R43="",0,VLOOKUP(R43,参数配置!$D$4:$E$8,2,FALSE)))</f>
        <v/>
      </c>
      <c r="T43" s="23">
        <f>IF($A43="","",IF(Q43="","",ROUND(Q43*(1-S43),2)))</f>
        <v/>
      </c>
      <c r="U43" s="8">
        <f>IF($A43="","",IF(T43="","",IF(T43&gt;=参数配置!$B$14,"极高",IF(T43&gt;=参数配置!$B$15,"高",IF(T43&gt;=参数配置!$B$16,"中",IF(T43&gt;=参数配置!$B$17,"低","极低"))))))</f>
        <v/>
      </c>
      <c r="V43" s="8">
        <f>IF($A43="","",IF(P43="","",ROUND(P43,0)))</f>
        <v/>
      </c>
      <c r="W43" s="8">
        <f>IF($A43="","",IF(Q43="","",ROUND(Q43,0)))</f>
        <v/>
      </c>
      <c r="X43" s="8">
        <f>IF($A43="","",IF(U43="","",IF(U43="极高","每年必审",IF(U43="高","每年审计",IF(U43="中","两年一轮","按需抽查")))))</f>
        <v/>
      </c>
      <c r="Y43" s="24">
        <f>IF($A43="","",IF(OR(Q43="",Q43=0),"",(Q43-T43)/Q43))</f>
        <v/>
      </c>
      <c r="Z43" s="22" t="inlineStr">
        <is>
          <t>履约台账覆盖率 70%；2 份合同变更未走审批</t>
        </is>
      </c>
    </row>
    <row r="44">
      <c r="A44" s="22" t="inlineStr">
        <is>
          <t>R021</t>
        </is>
      </c>
      <c r="B44" s="22" t="inlineStr">
        <is>
          <t>业务外包管理失控</t>
        </is>
      </c>
      <c r="C44" s="22" t="inlineStr">
        <is>
          <t>采购与外包</t>
        </is>
      </c>
      <c r="D44" s="22" t="inlineStr">
        <is>
          <t>外包商准入评价与过程监督缺失，责任转嫁不出去</t>
        </is>
      </c>
      <c r="E44" s="22" t="inlineStr">
        <is>
          <t>采购部</t>
        </is>
      </c>
      <c r="F44" s="22" t="inlineStr">
        <is>
          <t>2025H2</t>
        </is>
      </c>
      <c r="G44" s="10" t="n">
        <v>4</v>
      </c>
      <c r="H44" s="10" t="n">
        <v>3</v>
      </c>
      <c r="I44" s="10" t="n">
        <v>4</v>
      </c>
      <c r="J44" s="10" t="n">
        <v>4</v>
      </c>
      <c r="K44" s="10" t="n">
        <v>2</v>
      </c>
      <c r="L44" s="10" t="n">
        <v>3</v>
      </c>
      <c r="M44" s="10" t="n">
        <v>3</v>
      </c>
      <c r="N44" s="10" t="n">
        <v>3</v>
      </c>
      <c r="O44" s="10" t="n">
        <v>4</v>
      </c>
      <c r="P44" s="23">
        <f>IF($A44="","",IF(COUNT(H44:O44)=0,"",ROUND(MAX(SUMPRODUCT(H44:O44,IFERROR(VLOOKUP($C44,参数配置!$A$26:$I$38,{2,3,4,5,6,7,8,9},FALSE),VLOOKUP(参数配置!$A$26,参数配置!$A$26:$I$38,{2,3,4,5,6,7,8,9},FALSE)))/SUMPRODUCT(IFERROR(VLOOKUP($C44,参数配置!$A$26:$I$38,{2,3,4,5,6,7,8,9},FALSE),VLOOKUP(参数配置!$A$26,参数配置!$A$26:$I$38,{2,3,4,5,6,7,8,9},FALSE)),--(H44:O44&lt;&gt;"")),参数配置!$E$13*MAX(H44:O44)),2)))</f>
        <v/>
      </c>
      <c r="Q44" s="23">
        <f>IF($A44="","",IF(P44="","",ROUND(G44*P44,2)))</f>
        <v/>
      </c>
      <c r="R44" s="8">
        <f>IF($A44="","",IF(COUNTIFS(控制措施表!$B:$B,$A44,控制措施表!$C:$C,$F44,控制措施表!$F:$F,"是")=0,IF(COUNTIFS(控制措施表!$B:$B,$A44,控制措施表!$C:$C,$F44)=0,"",MINIFS(控制措施表!$E:$E,控制措施表!$B:$B,$A44,控制措施表!$C:$C,$F44)),MINIFS(控制措施表!$E:$E,控制措施表!$B:$B,$A44,控制措施表!$C:$C,$F44,控制措施表!$F:$F,"是")))</f>
        <v/>
      </c>
      <c r="S44" s="24">
        <f>IF($A44="","",IF(R44="",0,VLOOKUP(R44,参数配置!$D$4:$E$8,2,FALSE)))</f>
        <v/>
      </c>
      <c r="T44" s="23">
        <f>IF($A44="","",IF(Q44="","",ROUND(Q44*(1-S44),2)))</f>
        <v/>
      </c>
      <c r="U44" s="8">
        <f>IF($A44="","",IF(T44="","",IF(T44&gt;=参数配置!$B$14,"极高",IF(T44&gt;=参数配置!$B$15,"高",IF(T44&gt;=参数配置!$B$16,"中",IF(T44&gt;=参数配置!$B$17,"低","极低"))))))</f>
        <v/>
      </c>
      <c r="V44" s="8">
        <f>IF($A44="","",IF(P44="","",ROUND(P44,0)))</f>
        <v/>
      </c>
      <c r="W44" s="8">
        <f>IF($A44="","",IF(Q44="","",ROUND(Q44,0)))</f>
        <v/>
      </c>
      <c r="X44" s="8">
        <f>IF($A44="","",IF(U44="","",IF(U44="极高","每年必审",IF(U44="高","每年审计",IF(U44="中","两年一轮","按需抽查")))))</f>
        <v/>
      </c>
      <c r="Y44" s="24">
        <f>IF($A44="","",IF(OR(Q44="",Q44=0),"",(Q44-T44)/Q44))</f>
        <v/>
      </c>
      <c r="Z44" s="22" t="inlineStr">
        <is>
          <t>外包商名录 3 年未更新；发生 1 起外包安全事故</t>
        </is>
      </c>
    </row>
    <row r="45">
      <c r="A45" s="22" t="inlineStr">
        <is>
          <t>R021</t>
        </is>
      </c>
      <c r="B45" s="22" t="inlineStr">
        <is>
          <t>业务外包管理失控</t>
        </is>
      </c>
      <c r="C45" s="22" t="inlineStr">
        <is>
          <t>采购与外包</t>
        </is>
      </c>
      <c r="D45" s="22" t="inlineStr">
        <is>
          <t>外包商准入评价与过程监督缺失，责任转嫁不出去</t>
        </is>
      </c>
      <c r="E45" s="22" t="inlineStr">
        <is>
          <t>采购部</t>
        </is>
      </c>
      <c r="F45" s="22" t="inlineStr">
        <is>
          <t>2026H1</t>
        </is>
      </c>
      <c r="G45" s="10" t="n">
        <v>3</v>
      </c>
      <c r="H45" s="10" t="n">
        <v>3</v>
      </c>
      <c r="I45" s="10" t="n">
        <v>4</v>
      </c>
      <c r="J45" s="10" t="n">
        <v>4</v>
      </c>
      <c r="K45" s="10" t="n">
        <v>2</v>
      </c>
      <c r="L45" s="10" t="n">
        <v>3</v>
      </c>
      <c r="M45" s="10" t="n">
        <v>3</v>
      </c>
      <c r="N45" s="10" t="n">
        <v>3</v>
      </c>
      <c r="O45" s="10" t="n">
        <v>4</v>
      </c>
      <c r="P45" s="23">
        <f>IF($A45="","",IF(COUNT(H45:O45)=0,"",ROUND(MAX(SUMPRODUCT(H45:O45,IFERROR(VLOOKUP($C45,参数配置!$A$26:$I$38,{2,3,4,5,6,7,8,9},FALSE),VLOOKUP(参数配置!$A$26,参数配置!$A$26:$I$38,{2,3,4,5,6,7,8,9},FALSE)))/SUMPRODUCT(IFERROR(VLOOKUP($C45,参数配置!$A$26:$I$38,{2,3,4,5,6,7,8,9},FALSE),VLOOKUP(参数配置!$A$26,参数配置!$A$26:$I$38,{2,3,4,5,6,7,8,9},FALSE)),--(H45:O45&lt;&gt;"")),参数配置!$E$13*MAX(H45:O45)),2)))</f>
        <v/>
      </c>
      <c r="Q45" s="23">
        <f>IF($A45="","",IF(P45="","",ROUND(G45*P45,2)))</f>
        <v/>
      </c>
      <c r="R45" s="8">
        <f>IF($A45="","",IF(COUNTIFS(控制措施表!$B:$B,$A45,控制措施表!$C:$C,$F45,控制措施表!$F:$F,"是")=0,IF(COUNTIFS(控制措施表!$B:$B,$A45,控制措施表!$C:$C,$F45)=0,"",MINIFS(控制措施表!$E:$E,控制措施表!$B:$B,$A45,控制措施表!$C:$C,$F45)),MINIFS(控制措施表!$E:$E,控制措施表!$B:$B,$A45,控制措施表!$C:$C,$F45,控制措施表!$F:$F,"是")))</f>
        <v/>
      </c>
      <c r="S45" s="24">
        <f>IF($A45="","",IF(R45="",0,VLOOKUP(R45,参数配置!$D$4:$E$8,2,FALSE)))</f>
        <v/>
      </c>
      <c r="T45" s="23">
        <f>IF($A45="","",IF(Q45="","",ROUND(Q45*(1-S45),2)))</f>
        <v/>
      </c>
      <c r="U45" s="8">
        <f>IF($A45="","",IF(T45="","",IF(T45&gt;=参数配置!$B$14,"极高",IF(T45&gt;=参数配置!$B$15,"高",IF(T45&gt;=参数配置!$B$16,"中",IF(T45&gt;=参数配置!$B$17,"低","极低"))))))</f>
        <v/>
      </c>
      <c r="V45" s="8">
        <f>IF($A45="","",IF(P45="","",ROUND(P45,0)))</f>
        <v/>
      </c>
      <c r="W45" s="8">
        <f>IF($A45="","",IF(Q45="","",ROUND(Q45,0)))</f>
        <v/>
      </c>
      <c r="X45" s="8">
        <f>IF($A45="","",IF(U45="","",IF(U45="极高","每年必审",IF(U45="高","每年审计",IF(U45="中","两年一轮","按需抽查")))))</f>
        <v/>
      </c>
      <c r="Y45" s="24">
        <f>IF($A45="","",IF(OR(Q45="",Q45=0),"",(Q45-T45)/Q45))</f>
        <v/>
      </c>
      <c r="Z45" s="22" t="inlineStr">
        <is>
          <t>外包商名录 3 年未更新；发生 1 起外包安全事故</t>
        </is>
      </c>
    </row>
    <row r="46">
      <c r="A46" s="22" t="inlineStr">
        <is>
          <t>R022</t>
        </is>
      </c>
      <c r="B46" s="22" t="inlineStr">
        <is>
          <t>数据合规与个人信息保护</t>
        </is>
      </c>
      <c r="C46" s="22" t="inlineStr">
        <is>
          <t>合规与法律</t>
        </is>
      </c>
      <c r="D46" s="22" t="inlineStr">
        <is>
          <t>个人信息处理与数据出境不合规，面临监管处罚</t>
        </is>
      </c>
      <c r="E46" s="22" t="inlineStr">
        <is>
          <t>法务部</t>
        </is>
      </c>
      <c r="F46" s="22" t="inlineStr">
        <is>
          <t>2025H2</t>
        </is>
      </c>
      <c r="G46" s="10" t="n">
        <v>4</v>
      </c>
      <c r="H46" s="10" t="n">
        <v>3</v>
      </c>
      <c r="I46" s="10" t="n">
        <v>5</v>
      </c>
      <c r="J46" s="10" t="n">
        <v>3</v>
      </c>
      <c r="K46" s="10" t="n">
        <v>4</v>
      </c>
      <c r="L46" s="10" t="n">
        <v>1</v>
      </c>
      <c r="M46" s="10" t="n">
        <v>4</v>
      </c>
      <c r="N46" s="10" t="n">
        <v>5</v>
      </c>
      <c r="P46" s="23">
        <f>IF($A46="","",IF(COUNT(H46:O46)=0,"",ROUND(MAX(SUMPRODUCT(H46:O46,IFERROR(VLOOKUP($C46,参数配置!$A$26:$I$38,{2,3,4,5,6,7,8,9},FALSE),VLOOKUP(参数配置!$A$26,参数配置!$A$26:$I$38,{2,3,4,5,6,7,8,9},FALSE)))/SUMPRODUCT(IFERROR(VLOOKUP($C46,参数配置!$A$26:$I$38,{2,3,4,5,6,7,8,9},FALSE),VLOOKUP(参数配置!$A$26,参数配置!$A$26:$I$38,{2,3,4,5,6,7,8,9},FALSE)),--(H46:O46&lt;&gt;"")),参数配置!$E$13*MAX(H46:O46)),2)))</f>
        <v/>
      </c>
      <c r="Q46" s="23">
        <f>IF($A46="","",IF(P46="","",ROUND(G46*P46,2)))</f>
        <v/>
      </c>
      <c r="R46" s="8">
        <f>IF($A46="","",IF(COUNTIFS(控制措施表!$B:$B,$A46,控制措施表!$C:$C,$F46,控制措施表!$F:$F,"是")=0,IF(COUNTIFS(控制措施表!$B:$B,$A46,控制措施表!$C:$C,$F46)=0,"",MINIFS(控制措施表!$E:$E,控制措施表!$B:$B,$A46,控制措施表!$C:$C,$F46)),MINIFS(控制措施表!$E:$E,控制措施表!$B:$B,$A46,控制措施表!$C:$C,$F46,控制措施表!$F:$F,"是")))</f>
        <v/>
      </c>
      <c r="S46" s="24">
        <f>IF($A46="","",IF(R46="",0,VLOOKUP(R46,参数配置!$D$4:$E$8,2,FALSE)))</f>
        <v/>
      </c>
      <c r="T46" s="23">
        <f>IF($A46="","",IF(Q46="","",ROUND(Q46*(1-S46),2)))</f>
        <v/>
      </c>
      <c r="U46" s="8">
        <f>IF($A46="","",IF(T46="","",IF(T46&gt;=参数配置!$B$14,"极高",IF(T46&gt;=参数配置!$B$15,"高",IF(T46&gt;=参数配置!$B$16,"中",IF(T46&gt;=参数配置!$B$17,"低","极低"))))))</f>
        <v/>
      </c>
      <c r="V46" s="8">
        <f>IF($A46="","",IF(P46="","",ROUND(P46,0)))</f>
        <v/>
      </c>
      <c r="W46" s="8">
        <f>IF($A46="","",IF(Q46="","",ROUND(Q46,0)))</f>
        <v/>
      </c>
      <c r="X46" s="8">
        <f>IF($A46="","",IF(U46="","",IF(U46="极高","每年必审",IF(U46="高","每年审计",IF(U46="中","两年一轮","按需抽查")))))</f>
        <v/>
      </c>
      <c r="Y46" s="24">
        <f>IF($A46="","",IF(OR(Q46="",Q46=0),"",(Q46-T46)/Q46))</f>
        <v/>
      </c>
      <c r="Z46" s="22" t="inlineStr">
        <is>
          <t>数据监管新规密集出台；行业 App 违规通报案例增多</t>
        </is>
      </c>
    </row>
    <row r="47">
      <c r="A47" s="22" t="inlineStr">
        <is>
          <t>R022</t>
        </is>
      </c>
      <c r="B47" s="22" t="inlineStr">
        <is>
          <t>数据合规与个人信息保护</t>
        </is>
      </c>
      <c r="C47" s="22" t="inlineStr">
        <is>
          <t>合规与法律</t>
        </is>
      </c>
      <c r="D47" s="22" t="inlineStr">
        <is>
          <t>个人信息处理与数据出境不合规，面临监管处罚</t>
        </is>
      </c>
      <c r="E47" s="22" t="inlineStr">
        <is>
          <t>法务部</t>
        </is>
      </c>
      <c r="F47" s="22" t="inlineStr">
        <is>
          <t>2026H1</t>
        </is>
      </c>
      <c r="G47" s="10" t="n">
        <v>3</v>
      </c>
      <c r="H47" s="10" t="n">
        <v>3</v>
      </c>
      <c r="I47" s="10" t="n">
        <v>5</v>
      </c>
      <c r="J47" s="10" t="n">
        <v>3</v>
      </c>
      <c r="K47" s="10" t="n">
        <v>4</v>
      </c>
      <c r="L47" s="10" t="n">
        <v>1</v>
      </c>
      <c r="M47" s="10" t="n">
        <v>4</v>
      </c>
      <c r="N47" s="10" t="n">
        <v>5</v>
      </c>
      <c r="P47" s="23">
        <f>IF($A47="","",IF(COUNT(H47:O47)=0,"",ROUND(MAX(SUMPRODUCT(H47:O47,IFERROR(VLOOKUP($C47,参数配置!$A$26:$I$38,{2,3,4,5,6,7,8,9},FALSE),VLOOKUP(参数配置!$A$26,参数配置!$A$26:$I$38,{2,3,4,5,6,7,8,9},FALSE)))/SUMPRODUCT(IFERROR(VLOOKUP($C47,参数配置!$A$26:$I$38,{2,3,4,5,6,7,8,9},FALSE),VLOOKUP(参数配置!$A$26,参数配置!$A$26:$I$38,{2,3,4,5,6,7,8,9},FALSE)),--(H47:O47&lt;&gt;"")),参数配置!$E$13*MAX(H47:O47)),2)))</f>
        <v/>
      </c>
      <c r="Q47" s="23">
        <f>IF($A47="","",IF(P47="","",ROUND(G47*P47,2)))</f>
        <v/>
      </c>
      <c r="R47" s="8">
        <f>IF($A47="","",IF(COUNTIFS(控制措施表!$B:$B,$A47,控制措施表!$C:$C,$F47,控制措施表!$F:$F,"是")=0,IF(COUNTIFS(控制措施表!$B:$B,$A47,控制措施表!$C:$C,$F47)=0,"",MINIFS(控制措施表!$E:$E,控制措施表!$B:$B,$A47,控制措施表!$C:$C,$F47)),MINIFS(控制措施表!$E:$E,控制措施表!$B:$B,$A47,控制措施表!$C:$C,$F47,控制措施表!$F:$F,"是")))</f>
        <v/>
      </c>
      <c r="S47" s="24">
        <f>IF($A47="","",IF(R47="",0,VLOOKUP(R47,参数配置!$D$4:$E$8,2,FALSE)))</f>
        <v/>
      </c>
      <c r="T47" s="23">
        <f>IF($A47="","",IF(Q47="","",ROUND(Q47*(1-S47),2)))</f>
        <v/>
      </c>
      <c r="U47" s="8">
        <f>IF($A47="","",IF(T47="","",IF(T47&gt;=参数配置!$B$14,"极高",IF(T47&gt;=参数配置!$B$15,"高",IF(T47&gt;=参数配置!$B$16,"中",IF(T47&gt;=参数配置!$B$17,"低","极低"))))))</f>
        <v/>
      </c>
      <c r="V47" s="8">
        <f>IF($A47="","",IF(P47="","",ROUND(P47,0)))</f>
        <v/>
      </c>
      <c r="W47" s="8">
        <f>IF($A47="","",IF(Q47="","",ROUND(Q47,0)))</f>
        <v/>
      </c>
      <c r="X47" s="8">
        <f>IF($A47="","",IF(U47="","",IF(U47="极高","每年必审",IF(U47="高","每年审计",IF(U47="中","两年一轮","按需抽查")))))</f>
        <v/>
      </c>
      <c r="Y47" s="24">
        <f>IF($A47="","",IF(OR(Q47="",Q47=0),"",(Q47-T47)/Q47))</f>
        <v/>
      </c>
      <c r="Z47" s="22" t="inlineStr">
        <is>
          <t>数据监管新规密集出台；行业 App 违规通报案例增多</t>
        </is>
      </c>
    </row>
    <row r="48">
      <c r="A48" s="22" t="inlineStr">
        <is>
          <t>R023</t>
        </is>
      </c>
      <c r="B48" s="22" t="inlineStr">
        <is>
          <t>环保设施运行与排放达标</t>
        </is>
      </c>
      <c r="C48" s="22" t="inlineStr">
        <is>
          <t>安全环保</t>
        </is>
      </c>
      <c r="D48" s="22" t="inlineStr">
        <is>
          <t>环保设施运行不稳定，排放超标引发处罚与限产</t>
        </is>
      </c>
      <c r="E48" s="22" t="inlineStr">
        <is>
          <t>安监部</t>
        </is>
      </c>
      <c r="F48" s="22" t="inlineStr">
        <is>
          <t>2025H2</t>
        </is>
      </c>
      <c r="G48" s="10" t="n">
        <v>3</v>
      </c>
      <c r="H48" s="10" t="n">
        <v>4</v>
      </c>
      <c r="I48" s="10" t="n">
        <v>5</v>
      </c>
      <c r="J48" s="10" t="n">
        <v>4</v>
      </c>
      <c r="K48" s="10" t="n">
        <v>4</v>
      </c>
      <c r="L48" s="10" t="n">
        <v>1</v>
      </c>
      <c r="M48" s="10" t="n">
        <v>4</v>
      </c>
      <c r="N48" s="10" t="n">
        <v>1</v>
      </c>
      <c r="O48" s="10" t="n">
        <v>4</v>
      </c>
      <c r="P48" s="23">
        <f>IF($A48="","",IF(COUNT(H48:O48)=0,"",ROUND(MAX(SUMPRODUCT(H48:O48,IFERROR(VLOOKUP($C48,参数配置!$A$26:$I$38,{2,3,4,5,6,7,8,9},FALSE),VLOOKUP(参数配置!$A$26,参数配置!$A$26:$I$38,{2,3,4,5,6,7,8,9},FALSE)))/SUMPRODUCT(IFERROR(VLOOKUP($C48,参数配置!$A$26:$I$38,{2,3,4,5,6,7,8,9},FALSE),VLOOKUP(参数配置!$A$26,参数配置!$A$26:$I$38,{2,3,4,5,6,7,8,9},FALSE)),--(H48:O48&lt;&gt;"")),参数配置!$E$13*MAX(H48:O48)),2)))</f>
        <v/>
      </c>
      <c r="Q48" s="23">
        <f>IF($A48="","",IF(P48="","",ROUND(G48*P48,2)))</f>
        <v/>
      </c>
      <c r="R48" s="8">
        <f>IF($A48="","",IF(COUNTIFS(控制措施表!$B:$B,$A48,控制措施表!$C:$C,$F48,控制措施表!$F:$F,"是")=0,IF(COUNTIFS(控制措施表!$B:$B,$A48,控制措施表!$C:$C,$F48)=0,"",MINIFS(控制措施表!$E:$E,控制措施表!$B:$B,$A48,控制措施表!$C:$C,$F48)),MINIFS(控制措施表!$E:$E,控制措施表!$B:$B,$A48,控制措施表!$C:$C,$F48,控制措施表!$F:$F,"是")))</f>
        <v/>
      </c>
      <c r="S48" s="24">
        <f>IF($A48="","",IF(R48="",0,VLOOKUP(R48,参数配置!$D$4:$E$8,2,FALSE)))</f>
        <v/>
      </c>
      <c r="T48" s="23">
        <f>IF($A48="","",IF(Q48="","",ROUND(Q48*(1-S48),2)))</f>
        <v/>
      </c>
      <c r="U48" s="8">
        <f>IF($A48="","",IF(T48="","",IF(T48&gt;=参数配置!$B$14,"极高",IF(T48&gt;=参数配置!$B$15,"高",IF(T48&gt;=参数配置!$B$16,"中",IF(T48&gt;=参数配置!$B$17,"低","极低"))))))</f>
        <v/>
      </c>
      <c r="V48" s="8">
        <f>IF($A48="","",IF(P48="","",ROUND(P48,0)))</f>
        <v/>
      </c>
      <c r="W48" s="8">
        <f>IF($A48="","",IF(Q48="","",ROUND(Q48,0)))</f>
        <v/>
      </c>
      <c r="X48" s="8">
        <f>IF($A48="","",IF(U48="","",IF(U48="极高","每年必审",IF(U48="高","每年审计",IF(U48="中","两年一轮","按需抽查")))))</f>
        <v/>
      </c>
      <c r="Y48" s="24">
        <f>IF($A48="","",IF(OR(Q48="",Q48=0),"",(Q48-T48)/Q48))</f>
        <v/>
      </c>
      <c r="Z48" s="22" t="inlineStr">
        <is>
          <t>上年度环保在线监测数据 2 次异常；未发生处罚</t>
        </is>
      </c>
    </row>
    <row r="49">
      <c r="A49" s="22" t="inlineStr">
        <is>
          <t>R023</t>
        </is>
      </c>
      <c r="B49" s="22" t="inlineStr">
        <is>
          <t>环保设施运行与排放达标</t>
        </is>
      </c>
      <c r="C49" s="22" t="inlineStr">
        <is>
          <t>安全环保</t>
        </is>
      </c>
      <c r="D49" s="22" t="inlineStr">
        <is>
          <t>环保设施运行不稳定，排放超标引发处罚与限产</t>
        </is>
      </c>
      <c r="E49" s="22" t="inlineStr">
        <is>
          <t>安监部</t>
        </is>
      </c>
      <c r="F49" s="22" t="inlineStr">
        <is>
          <t>2026H1</t>
        </is>
      </c>
      <c r="G49" s="10" t="n">
        <v>2</v>
      </c>
      <c r="H49" s="10" t="n">
        <v>4</v>
      </c>
      <c r="I49" s="10" t="n">
        <v>5</v>
      </c>
      <c r="J49" s="10" t="n">
        <v>4</v>
      </c>
      <c r="K49" s="10" t="n">
        <v>4</v>
      </c>
      <c r="L49" s="10" t="n">
        <v>1</v>
      </c>
      <c r="M49" s="10" t="n">
        <v>4</v>
      </c>
      <c r="N49" s="10" t="n">
        <v>1</v>
      </c>
      <c r="O49" s="10" t="n">
        <v>4</v>
      </c>
      <c r="P49" s="23">
        <f>IF($A49="","",IF(COUNT(H49:O49)=0,"",ROUND(MAX(SUMPRODUCT(H49:O49,IFERROR(VLOOKUP($C49,参数配置!$A$26:$I$38,{2,3,4,5,6,7,8,9},FALSE),VLOOKUP(参数配置!$A$26,参数配置!$A$26:$I$38,{2,3,4,5,6,7,8,9},FALSE)))/SUMPRODUCT(IFERROR(VLOOKUP($C49,参数配置!$A$26:$I$38,{2,3,4,5,6,7,8,9},FALSE),VLOOKUP(参数配置!$A$26,参数配置!$A$26:$I$38,{2,3,4,5,6,7,8,9},FALSE)),--(H49:O49&lt;&gt;"")),参数配置!$E$13*MAX(H49:O49)),2)))</f>
        <v/>
      </c>
      <c r="Q49" s="23">
        <f>IF($A49="","",IF(P49="","",ROUND(G49*P49,2)))</f>
        <v/>
      </c>
      <c r="R49" s="8">
        <f>IF($A49="","",IF(COUNTIFS(控制措施表!$B:$B,$A49,控制措施表!$C:$C,$F49,控制措施表!$F:$F,"是")=0,IF(COUNTIFS(控制措施表!$B:$B,$A49,控制措施表!$C:$C,$F49)=0,"",MINIFS(控制措施表!$E:$E,控制措施表!$B:$B,$A49,控制措施表!$C:$C,$F49)),MINIFS(控制措施表!$E:$E,控制措施表!$B:$B,$A49,控制措施表!$C:$C,$F49,控制措施表!$F:$F,"是")))</f>
        <v/>
      </c>
      <c r="S49" s="24">
        <f>IF($A49="","",IF(R49="",0,VLOOKUP(R49,参数配置!$D$4:$E$8,2,FALSE)))</f>
        <v/>
      </c>
      <c r="T49" s="23">
        <f>IF($A49="","",IF(Q49="","",ROUND(Q49*(1-S49),2)))</f>
        <v/>
      </c>
      <c r="U49" s="8">
        <f>IF($A49="","",IF(T49="","",IF(T49&gt;=参数配置!$B$14,"极高",IF(T49&gt;=参数配置!$B$15,"高",IF(T49&gt;=参数配置!$B$16,"中",IF(T49&gt;=参数配置!$B$17,"低","极低"))))))</f>
        <v/>
      </c>
      <c r="V49" s="8">
        <f>IF($A49="","",IF(P49="","",ROUND(P49,0)))</f>
        <v/>
      </c>
      <c r="W49" s="8">
        <f>IF($A49="","",IF(Q49="","",ROUND(Q49,0)))</f>
        <v/>
      </c>
      <c r="X49" s="8">
        <f>IF($A49="","",IF(U49="","",IF(U49="极高","每年必审",IF(U49="高","每年审计",IF(U49="中","两年一轮","按需抽查")))))</f>
        <v/>
      </c>
      <c r="Y49" s="24">
        <f>IF($A49="","",IF(OR(Q49="",Q49=0),"",(Q49-T49)/Q49))</f>
        <v/>
      </c>
      <c r="Z49" s="22" t="inlineStr">
        <is>
          <t>上年度环保在线监测数据 2 次异常；未发生处罚</t>
        </is>
      </c>
    </row>
    <row r="50">
      <c r="A50" s="22" t="inlineStr">
        <is>
          <t>R024</t>
        </is>
      </c>
      <c r="B50" s="22" t="inlineStr">
        <is>
          <t>银行账户与票据管理</t>
        </is>
      </c>
      <c r="C50" s="22" t="inlineStr">
        <is>
          <t>资金活动</t>
        </is>
      </c>
      <c r="D50" s="22" t="inlineStr">
        <is>
          <t>账户开立失控、票据审核不严，存在欺诈损失风险</t>
        </is>
      </c>
      <c r="E50" s="22" t="inlineStr">
        <is>
          <t>财务部</t>
        </is>
      </c>
      <c r="F50" s="22" t="inlineStr">
        <is>
          <t>2025H2</t>
        </is>
      </c>
      <c r="G50" s="10" t="n">
        <v>3</v>
      </c>
      <c r="H50" s="10" t="n">
        <v>4</v>
      </c>
      <c r="I50" s="10" t="n">
        <v>3</v>
      </c>
      <c r="J50" s="10" t="n">
        <v>3</v>
      </c>
      <c r="K50" s="10" t="n">
        <v>3</v>
      </c>
      <c r="L50" s="10" t="n">
        <v>4</v>
      </c>
      <c r="M50" s="10" t="n">
        <v>2</v>
      </c>
      <c r="N50" s="10" t="n">
        <v>3</v>
      </c>
      <c r="P50" s="23">
        <f>IF($A50="","",IF(COUNT(H50:O50)=0,"",ROUND(MAX(SUMPRODUCT(H50:O50,IFERROR(VLOOKUP($C50,参数配置!$A$26:$I$38,{2,3,4,5,6,7,8,9},FALSE),VLOOKUP(参数配置!$A$26,参数配置!$A$26:$I$38,{2,3,4,5,6,7,8,9},FALSE)))/SUMPRODUCT(IFERROR(VLOOKUP($C50,参数配置!$A$26:$I$38,{2,3,4,5,6,7,8,9},FALSE),VLOOKUP(参数配置!$A$26,参数配置!$A$26:$I$38,{2,3,4,5,6,7,8,9},FALSE)),--(H50:O50&lt;&gt;"")),参数配置!$E$13*MAX(H50:O50)),2)))</f>
        <v/>
      </c>
      <c r="Q50" s="23">
        <f>IF($A50="","",IF(P50="","",ROUND(G50*P50,2)))</f>
        <v/>
      </c>
      <c r="R50" s="8">
        <f>IF($A50="","",IF(COUNTIFS(控制措施表!$B:$B,$A50,控制措施表!$C:$C,$F50,控制措施表!$F:$F,"是")=0,IF(COUNTIFS(控制措施表!$B:$B,$A50,控制措施表!$C:$C,$F50)=0,"",MINIFS(控制措施表!$E:$E,控制措施表!$B:$B,$A50,控制措施表!$C:$C,$F50)),MINIFS(控制措施表!$E:$E,控制措施表!$B:$B,$A50,控制措施表!$C:$C,$F50,控制措施表!$F:$F,"是")))</f>
        <v/>
      </c>
      <c r="S50" s="24">
        <f>IF($A50="","",IF(R50="",0,VLOOKUP(R50,参数配置!$D$4:$E$8,2,FALSE)))</f>
        <v/>
      </c>
      <c r="T50" s="23">
        <f>IF($A50="","",IF(Q50="","",ROUND(Q50*(1-S50),2)))</f>
        <v/>
      </c>
      <c r="U50" s="8">
        <f>IF($A50="","",IF(T50="","",IF(T50&gt;=参数配置!$B$14,"极高",IF(T50&gt;=参数配置!$B$15,"高",IF(T50&gt;=参数配置!$B$16,"中",IF(T50&gt;=参数配置!$B$17,"低","极低"))))))</f>
        <v/>
      </c>
      <c r="V50" s="8">
        <f>IF($A50="","",IF(P50="","",ROUND(P50,0)))</f>
        <v/>
      </c>
      <c r="W50" s="8">
        <f>IF($A50="","",IF(Q50="","",ROUND(Q50,0)))</f>
        <v/>
      </c>
      <c r="X50" s="8">
        <f>IF($A50="","",IF(U50="","",IF(U50="极高","每年必审",IF(U50="高","每年审计",IF(U50="中","两年一轮","按需抽查")))))</f>
        <v/>
      </c>
      <c r="Y50" s="24">
        <f>IF($A50="","",IF(OR(Q50="",Q50=0),"",(Q50-T50)/Q50))</f>
        <v/>
      </c>
      <c r="Z50" s="22" t="inlineStr">
        <is>
          <t>账户年检完成率 100%；票据背书抽查发现 1 处瑕疵</t>
        </is>
      </c>
    </row>
    <row r="51">
      <c r="A51" s="22" t="inlineStr">
        <is>
          <t>R024</t>
        </is>
      </c>
      <c r="B51" s="22" t="inlineStr">
        <is>
          <t>银行账户与票据管理</t>
        </is>
      </c>
      <c r="C51" s="22" t="inlineStr">
        <is>
          <t>资金活动</t>
        </is>
      </c>
      <c r="D51" s="22" t="inlineStr">
        <is>
          <t>账户开立失控、票据审核不严，存在欺诈损失风险</t>
        </is>
      </c>
      <c r="E51" s="22" t="inlineStr">
        <is>
          <t>财务部</t>
        </is>
      </c>
      <c r="F51" s="22" t="inlineStr">
        <is>
          <t>2026H1</t>
        </is>
      </c>
      <c r="G51" s="10" t="n">
        <v>3</v>
      </c>
      <c r="H51" s="10" t="n">
        <v>4</v>
      </c>
      <c r="I51" s="10" t="n">
        <v>3</v>
      </c>
      <c r="J51" s="10" t="n">
        <v>3</v>
      </c>
      <c r="K51" s="10" t="n">
        <v>2</v>
      </c>
      <c r="L51" s="10" t="n">
        <v>4</v>
      </c>
      <c r="M51" s="10" t="n">
        <v>2</v>
      </c>
      <c r="N51" s="10" t="n">
        <v>3</v>
      </c>
      <c r="P51" s="23">
        <f>IF($A51="","",IF(COUNT(H51:O51)=0,"",ROUND(MAX(SUMPRODUCT(H51:O51,IFERROR(VLOOKUP($C51,参数配置!$A$26:$I$38,{2,3,4,5,6,7,8,9},FALSE),VLOOKUP(参数配置!$A$26,参数配置!$A$26:$I$38,{2,3,4,5,6,7,8,9},FALSE)))/SUMPRODUCT(IFERROR(VLOOKUP($C51,参数配置!$A$26:$I$38,{2,3,4,5,6,7,8,9},FALSE),VLOOKUP(参数配置!$A$26,参数配置!$A$26:$I$38,{2,3,4,5,6,7,8,9},FALSE)),--(H51:O51&lt;&gt;"")),参数配置!$E$13*MAX(H51:O51)),2)))</f>
        <v/>
      </c>
      <c r="Q51" s="23">
        <f>IF($A51="","",IF(P51="","",ROUND(G51*P51,2)))</f>
        <v/>
      </c>
      <c r="R51" s="8">
        <f>IF($A51="","",IF(COUNTIFS(控制措施表!$B:$B,$A51,控制措施表!$C:$C,$F51,控制措施表!$F:$F,"是")=0,IF(COUNTIFS(控制措施表!$B:$B,$A51,控制措施表!$C:$C,$F51)=0,"",MINIFS(控制措施表!$E:$E,控制措施表!$B:$B,$A51,控制措施表!$C:$C,$F51)),MINIFS(控制措施表!$E:$E,控制措施表!$B:$B,$A51,控制措施表!$C:$C,$F51,控制措施表!$F:$F,"是")))</f>
        <v/>
      </c>
      <c r="S51" s="24">
        <f>IF($A51="","",IF(R51="",0,VLOOKUP(R51,参数配置!$D$4:$E$8,2,FALSE)))</f>
        <v/>
      </c>
      <c r="T51" s="23">
        <f>IF($A51="","",IF(Q51="","",ROUND(Q51*(1-S51),2)))</f>
        <v/>
      </c>
      <c r="U51" s="8">
        <f>IF($A51="","",IF(T51="","",IF(T51&gt;=参数配置!$B$14,"极高",IF(T51&gt;=参数配置!$B$15,"高",IF(T51&gt;=参数配置!$B$16,"中",IF(T51&gt;=参数配置!$B$17,"低","极低"))))))</f>
        <v/>
      </c>
      <c r="V51" s="8">
        <f>IF($A51="","",IF(P51="","",ROUND(P51,0)))</f>
        <v/>
      </c>
      <c r="W51" s="8">
        <f>IF($A51="","",IF(Q51="","",ROUND(Q51,0)))</f>
        <v/>
      </c>
      <c r="X51" s="8">
        <f>IF($A51="","",IF(U51="","",IF(U51="极高","每年必审",IF(U51="高","每年审计",IF(U51="中","两年一轮","按需抽查")))))</f>
        <v/>
      </c>
      <c r="Y51" s="24">
        <f>IF($A51="","",IF(OR(Q51="",Q51=0),"",(Q51-T51)/Q51))</f>
        <v/>
      </c>
      <c r="Z51" s="22" t="inlineStr">
        <is>
          <t>账户年检完成率 100%；票据背书抽查发现 1 处瑕疵</t>
        </is>
      </c>
    </row>
    <row r="52">
      <c r="P52" s="23">
        <f>IF($A52="","",IF(COUNT(H52:O52)=0,"",ROUND(MAX(SUMPRODUCT(H52:O52,IFERROR(VLOOKUP($C52,参数配置!$A$26:$I$38,{2,3,4,5,6,7,8,9},FALSE),VLOOKUP(参数配置!$A$26,参数配置!$A$26:$I$38,{2,3,4,5,6,7,8,9},FALSE)))/SUMPRODUCT(IFERROR(VLOOKUP($C52,参数配置!$A$26:$I$38,{2,3,4,5,6,7,8,9},FALSE),VLOOKUP(参数配置!$A$26,参数配置!$A$26:$I$38,{2,3,4,5,6,7,8,9},FALSE)),--(H52:O52&lt;&gt;"")),参数配置!$E$13*MAX(H52:O52)),2)))</f>
        <v/>
      </c>
      <c r="Q52" s="23">
        <f>IF($A52="","",IF(P52="","",ROUND(G52*P52,2)))</f>
        <v/>
      </c>
      <c r="R52" s="8">
        <f>IF($A52="","",IF(COUNTIFS(控制措施表!$B:$B,$A52,控制措施表!$C:$C,$F52,控制措施表!$F:$F,"是")=0,IF(COUNTIFS(控制措施表!$B:$B,$A52,控制措施表!$C:$C,$F52)=0,"",MINIFS(控制措施表!$E:$E,控制措施表!$B:$B,$A52,控制措施表!$C:$C,$F52)),MINIFS(控制措施表!$E:$E,控制措施表!$B:$B,$A52,控制措施表!$C:$C,$F52,控制措施表!$F:$F,"是")))</f>
        <v/>
      </c>
      <c r="S52" s="24">
        <f>IF($A52="","",IF(R52="",0,VLOOKUP(R52,参数配置!$D$4:$E$8,2,FALSE)))</f>
        <v/>
      </c>
      <c r="T52" s="23">
        <f>IF($A52="","",IF(Q52="","",ROUND(Q52*(1-S52),2)))</f>
        <v/>
      </c>
      <c r="U52" s="8">
        <f>IF($A52="","",IF(T52="","",IF(T52&gt;=参数配置!$B$14,"极高",IF(T52&gt;=参数配置!$B$15,"高",IF(T52&gt;=参数配置!$B$16,"中",IF(T52&gt;=参数配置!$B$17,"低","极低"))))))</f>
        <v/>
      </c>
      <c r="V52" s="8">
        <f>IF($A52="","",IF(P52="","",ROUND(P52,0)))</f>
        <v/>
      </c>
      <c r="W52" s="8">
        <f>IF($A52="","",IF(Q52="","",ROUND(Q52,0)))</f>
        <v/>
      </c>
      <c r="X52" s="8">
        <f>IF($A52="","",IF(U52="","",IF(U52="极高","每年必审",IF(U52="高","每年审计",IF(U52="中","两年一轮","按需抽查")))))</f>
        <v/>
      </c>
      <c r="Y52" s="24">
        <f>IF($A52="","",IF(OR(Q52="",Q52=0),"",(Q52-T52)/Q52))</f>
        <v/>
      </c>
    </row>
    <row r="53">
      <c r="P53" s="23">
        <f>IF($A53="","",IF(COUNT(H53:O53)=0,"",ROUND(MAX(SUMPRODUCT(H53:O53,IFERROR(VLOOKUP($C53,参数配置!$A$26:$I$38,{2,3,4,5,6,7,8,9},FALSE),VLOOKUP(参数配置!$A$26,参数配置!$A$26:$I$38,{2,3,4,5,6,7,8,9},FALSE)))/SUMPRODUCT(IFERROR(VLOOKUP($C53,参数配置!$A$26:$I$38,{2,3,4,5,6,7,8,9},FALSE),VLOOKUP(参数配置!$A$26,参数配置!$A$26:$I$38,{2,3,4,5,6,7,8,9},FALSE)),--(H53:O53&lt;&gt;"")),参数配置!$E$13*MAX(H53:O53)),2)))</f>
        <v/>
      </c>
      <c r="Q53" s="23">
        <f>IF($A53="","",IF(P53="","",ROUND(G53*P53,2)))</f>
        <v/>
      </c>
      <c r="R53" s="8">
        <f>IF($A53="","",IF(COUNTIFS(控制措施表!$B:$B,$A53,控制措施表!$C:$C,$F53,控制措施表!$F:$F,"是")=0,IF(COUNTIFS(控制措施表!$B:$B,$A53,控制措施表!$C:$C,$F53)=0,"",MINIFS(控制措施表!$E:$E,控制措施表!$B:$B,$A53,控制措施表!$C:$C,$F53)),MINIFS(控制措施表!$E:$E,控制措施表!$B:$B,$A53,控制措施表!$C:$C,$F53,控制措施表!$F:$F,"是")))</f>
        <v/>
      </c>
      <c r="S53" s="24">
        <f>IF($A53="","",IF(R53="",0,VLOOKUP(R53,参数配置!$D$4:$E$8,2,FALSE)))</f>
        <v/>
      </c>
      <c r="T53" s="23">
        <f>IF($A53="","",IF(Q53="","",ROUND(Q53*(1-S53),2)))</f>
        <v/>
      </c>
      <c r="U53" s="8">
        <f>IF($A53="","",IF(T53="","",IF(T53&gt;=参数配置!$B$14,"极高",IF(T53&gt;=参数配置!$B$15,"高",IF(T53&gt;=参数配置!$B$16,"中",IF(T53&gt;=参数配置!$B$17,"低","极低"))))))</f>
        <v/>
      </c>
      <c r="V53" s="8">
        <f>IF($A53="","",IF(P53="","",ROUND(P53,0)))</f>
        <v/>
      </c>
      <c r="W53" s="8">
        <f>IF($A53="","",IF(Q53="","",ROUND(Q53,0)))</f>
        <v/>
      </c>
      <c r="X53" s="8">
        <f>IF($A53="","",IF(U53="","",IF(U53="极高","每年必审",IF(U53="高","每年审计",IF(U53="中","两年一轮","按需抽查")))))</f>
        <v/>
      </c>
      <c r="Y53" s="24">
        <f>IF($A53="","",IF(OR(Q53="",Q53=0),"",(Q53-T53)/Q53))</f>
        <v/>
      </c>
    </row>
    <row r="54">
      <c r="P54" s="23">
        <f>IF($A54="","",IF(COUNT(H54:O54)=0,"",ROUND(MAX(SUMPRODUCT(H54:O54,IFERROR(VLOOKUP($C54,参数配置!$A$26:$I$38,{2,3,4,5,6,7,8,9},FALSE),VLOOKUP(参数配置!$A$26,参数配置!$A$26:$I$38,{2,3,4,5,6,7,8,9},FALSE)))/SUMPRODUCT(IFERROR(VLOOKUP($C54,参数配置!$A$26:$I$38,{2,3,4,5,6,7,8,9},FALSE),VLOOKUP(参数配置!$A$26,参数配置!$A$26:$I$38,{2,3,4,5,6,7,8,9},FALSE)),--(H54:O54&lt;&gt;"")),参数配置!$E$13*MAX(H54:O54)),2)))</f>
        <v/>
      </c>
      <c r="Q54" s="23">
        <f>IF($A54="","",IF(P54="","",ROUND(G54*P54,2)))</f>
        <v/>
      </c>
      <c r="R54" s="8">
        <f>IF($A54="","",IF(COUNTIFS(控制措施表!$B:$B,$A54,控制措施表!$C:$C,$F54,控制措施表!$F:$F,"是")=0,IF(COUNTIFS(控制措施表!$B:$B,$A54,控制措施表!$C:$C,$F54)=0,"",MINIFS(控制措施表!$E:$E,控制措施表!$B:$B,$A54,控制措施表!$C:$C,$F54)),MINIFS(控制措施表!$E:$E,控制措施表!$B:$B,$A54,控制措施表!$C:$C,$F54,控制措施表!$F:$F,"是")))</f>
        <v/>
      </c>
      <c r="S54" s="24">
        <f>IF($A54="","",IF(R54="",0,VLOOKUP(R54,参数配置!$D$4:$E$8,2,FALSE)))</f>
        <v/>
      </c>
      <c r="T54" s="23">
        <f>IF($A54="","",IF(Q54="","",ROUND(Q54*(1-S54),2)))</f>
        <v/>
      </c>
      <c r="U54" s="8">
        <f>IF($A54="","",IF(T54="","",IF(T54&gt;=参数配置!$B$14,"极高",IF(T54&gt;=参数配置!$B$15,"高",IF(T54&gt;=参数配置!$B$16,"中",IF(T54&gt;=参数配置!$B$17,"低","极低"))))))</f>
        <v/>
      </c>
      <c r="V54" s="8">
        <f>IF($A54="","",IF(P54="","",ROUND(P54,0)))</f>
        <v/>
      </c>
      <c r="W54" s="8">
        <f>IF($A54="","",IF(Q54="","",ROUND(Q54,0)))</f>
        <v/>
      </c>
      <c r="X54" s="8">
        <f>IF($A54="","",IF(U54="","",IF(U54="极高","每年必审",IF(U54="高","每年审计",IF(U54="中","两年一轮","按需抽查")))))</f>
        <v/>
      </c>
      <c r="Y54" s="24">
        <f>IF($A54="","",IF(OR(Q54="",Q54=0),"",(Q54-T54)/Q54))</f>
        <v/>
      </c>
    </row>
    <row r="55">
      <c r="P55" s="23">
        <f>IF($A55="","",IF(COUNT(H55:O55)=0,"",ROUND(MAX(SUMPRODUCT(H55:O55,IFERROR(VLOOKUP($C55,参数配置!$A$26:$I$38,{2,3,4,5,6,7,8,9},FALSE),VLOOKUP(参数配置!$A$26,参数配置!$A$26:$I$38,{2,3,4,5,6,7,8,9},FALSE)))/SUMPRODUCT(IFERROR(VLOOKUP($C55,参数配置!$A$26:$I$38,{2,3,4,5,6,7,8,9},FALSE),VLOOKUP(参数配置!$A$26,参数配置!$A$26:$I$38,{2,3,4,5,6,7,8,9},FALSE)),--(H55:O55&lt;&gt;"")),参数配置!$E$13*MAX(H55:O55)),2)))</f>
        <v/>
      </c>
      <c r="Q55" s="23">
        <f>IF($A55="","",IF(P55="","",ROUND(G55*P55,2)))</f>
        <v/>
      </c>
      <c r="R55" s="8">
        <f>IF($A55="","",IF(COUNTIFS(控制措施表!$B:$B,$A55,控制措施表!$C:$C,$F55,控制措施表!$F:$F,"是")=0,IF(COUNTIFS(控制措施表!$B:$B,$A55,控制措施表!$C:$C,$F55)=0,"",MINIFS(控制措施表!$E:$E,控制措施表!$B:$B,$A55,控制措施表!$C:$C,$F55)),MINIFS(控制措施表!$E:$E,控制措施表!$B:$B,$A55,控制措施表!$C:$C,$F55,控制措施表!$F:$F,"是")))</f>
        <v/>
      </c>
      <c r="S55" s="24">
        <f>IF($A55="","",IF(R55="",0,VLOOKUP(R55,参数配置!$D$4:$E$8,2,FALSE)))</f>
        <v/>
      </c>
      <c r="T55" s="23">
        <f>IF($A55="","",IF(Q55="","",ROUND(Q55*(1-S55),2)))</f>
        <v/>
      </c>
      <c r="U55" s="8">
        <f>IF($A55="","",IF(T55="","",IF(T55&gt;=参数配置!$B$14,"极高",IF(T55&gt;=参数配置!$B$15,"高",IF(T55&gt;=参数配置!$B$16,"中",IF(T55&gt;=参数配置!$B$17,"低","极低"))))))</f>
        <v/>
      </c>
      <c r="V55" s="8">
        <f>IF($A55="","",IF(P55="","",ROUND(P55,0)))</f>
        <v/>
      </c>
      <c r="W55" s="8">
        <f>IF($A55="","",IF(Q55="","",ROUND(Q55,0)))</f>
        <v/>
      </c>
      <c r="X55" s="8">
        <f>IF($A55="","",IF(U55="","",IF(U55="极高","每年必审",IF(U55="高","每年审计",IF(U55="中","两年一轮","按需抽查")))))</f>
        <v/>
      </c>
      <c r="Y55" s="24">
        <f>IF($A55="","",IF(OR(Q55="",Q55=0),"",(Q55-T55)/Q55))</f>
        <v/>
      </c>
    </row>
    <row r="56">
      <c r="P56" s="23">
        <f>IF($A56="","",IF(COUNT(H56:O56)=0,"",ROUND(MAX(SUMPRODUCT(H56:O56,IFERROR(VLOOKUP($C56,参数配置!$A$26:$I$38,{2,3,4,5,6,7,8,9},FALSE),VLOOKUP(参数配置!$A$26,参数配置!$A$26:$I$38,{2,3,4,5,6,7,8,9},FALSE)))/SUMPRODUCT(IFERROR(VLOOKUP($C56,参数配置!$A$26:$I$38,{2,3,4,5,6,7,8,9},FALSE),VLOOKUP(参数配置!$A$26,参数配置!$A$26:$I$38,{2,3,4,5,6,7,8,9},FALSE)),--(H56:O56&lt;&gt;"")),参数配置!$E$13*MAX(H56:O56)),2)))</f>
        <v/>
      </c>
      <c r="Q56" s="23">
        <f>IF($A56="","",IF(P56="","",ROUND(G56*P56,2)))</f>
        <v/>
      </c>
      <c r="R56" s="8">
        <f>IF($A56="","",IF(COUNTIFS(控制措施表!$B:$B,$A56,控制措施表!$C:$C,$F56,控制措施表!$F:$F,"是")=0,IF(COUNTIFS(控制措施表!$B:$B,$A56,控制措施表!$C:$C,$F56)=0,"",MINIFS(控制措施表!$E:$E,控制措施表!$B:$B,$A56,控制措施表!$C:$C,$F56)),MINIFS(控制措施表!$E:$E,控制措施表!$B:$B,$A56,控制措施表!$C:$C,$F56,控制措施表!$F:$F,"是")))</f>
        <v/>
      </c>
      <c r="S56" s="24">
        <f>IF($A56="","",IF(R56="",0,VLOOKUP(R56,参数配置!$D$4:$E$8,2,FALSE)))</f>
        <v/>
      </c>
      <c r="T56" s="23">
        <f>IF($A56="","",IF(Q56="","",ROUND(Q56*(1-S56),2)))</f>
        <v/>
      </c>
      <c r="U56" s="8">
        <f>IF($A56="","",IF(T56="","",IF(T56&gt;=参数配置!$B$14,"极高",IF(T56&gt;=参数配置!$B$15,"高",IF(T56&gt;=参数配置!$B$16,"中",IF(T56&gt;=参数配置!$B$17,"低","极低"))))))</f>
        <v/>
      </c>
      <c r="V56" s="8">
        <f>IF($A56="","",IF(P56="","",ROUND(P56,0)))</f>
        <v/>
      </c>
      <c r="W56" s="8">
        <f>IF($A56="","",IF(Q56="","",ROUND(Q56,0)))</f>
        <v/>
      </c>
      <c r="X56" s="8">
        <f>IF($A56="","",IF(U56="","",IF(U56="极高","每年必审",IF(U56="高","每年审计",IF(U56="中","两年一轮","按需抽查")))))</f>
        <v/>
      </c>
      <c r="Y56" s="24">
        <f>IF($A56="","",IF(OR(Q56="",Q56=0),"",(Q56-T56)/Q56))</f>
        <v/>
      </c>
    </row>
    <row r="57">
      <c r="P57" s="23">
        <f>IF($A57="","",IF(COUNT(H57:O57)=0,"",ROUND(MAX(SUMPRODUCT(H57:O57,IFERROR(VLOOKUP($C57,参数配置!$A$26:$I$38,{2,3,4,5,6,7,8,9},FALSE),VLOOKUP(参数配置!$A$26,参数配置!$A$26:$I$38,{2,3,4,5,6,7,8,9},FALSE)))/SUMPRODUCT(IFERROR(VLOOKUP($C57,参数配置!$A$26:$I$38,{2,3,4,5,6,7,8,9},FALSE),VLOOKUP(参数配置!$A$26,参数配置!$A$26:$I$38,{2,3,4,5,6,7,8,9},FALSE)),--(H57:O57&lt;&gt;"")),参数配置!$E$13*MAX(H57:O57)),2)))</f>
        <v/>
      </c>
      <c r="Q57" s="23">
        <f>IF($A57="","",IF(P57="","",ROUND(G57*P57,2)))</f>
        <v/>
      </c>
      <c r="R57" s="8">
        <f>IF($A57="","",IF(COUNTIFS(控制措施表!$B:$B,$A57,控制措施表!$C:$C,$F57,控制措施表!$F:$F,"是")=0,IF(COUNTIFS(控制措施表!$B:$B,$A57,控制措施表!$C:$C,$F57)=0,"",MINIFS(控制措施表!$E:$E,控制措施表!$B:$B,$A57,控制措施表!$C:$C,$F57)),MINIFS(控制措施表!$E:$E,控制措施表!$B:$B,$A57,控制措施表!$C:$C,$F57,控制措施表!$F:$F,"是")))</f>
        <v/>
      </c>
      <c r="S57" s="24">
        <f>IF($A57="","",IF(R57="",0,VLOOKUP(R57,参数配置!$D$4:$E$8,2,FALSE)))</f>
        <v/>
      </c>
      <c r="T57" s="23">
        <f>IF($A57="","",IF(Q57="","",ROUND(Q57*(1-S57),2)))</f>
        <v/>
      </c>
      <c r="U57" s="8">
        <f>IF($A57="","",IF(T57="","",IF(T57&gt;=参数配置!$B$14,"极高",IF(T57&gt;=参数配置!$B$15,"高",IF(T57&gt;=参数配置!$B$16,"中",IF(T57&gt;=参数配置!$B$17,"低","极低"))))))</f>
        <v/>
      </c>
      <c r="V57" s="8">
        <f>IF($A57="","",IF(P57="","",ROUND(P57,0)))</f>
        <v/>
      </c>
      <c r="W57" s="8">
        <f>IF($A57="","",IF(Q57="","",ROUND(Q57,0)))</f>
        <v/>
      </c>
      <c r="X57" s="8">
        <f>IF($A57="","",IF(U57="","",IF(U57="极高","每年必审",IF(U57="高","每年审计",IF(U57="中","两年一轮","按需抽查")))))</f>
        <v/>
      </c>
      <c r="Y57" s="24">
        <f>IF($A57="","",IF(OR(Q57="",Q57=0),"",(Q57-T57)/Q57))</f>
        <v/>
      </c>
    </row>
    <row r="58">
      <c r="P58" s="23">
        <f>IF($A58="","",IF(COUNT(H58:O58)=0,"",ROUND(MAX(SUMPRODUCT(H58:O58,IFERROR(VLOOKUP($C58,参数配置!$A$26:$I$38,{2,3,4,5,6,7,8,9},FALSE),VLOOKUP(参数配置!$A$26,参数配置!$A$26:$I$38,{2,3,4,5,6,7,8,9},FALSE)))/SUMPRODUCT(IFERROR(VLOOKUP($C58,参数配置!$A$26:$I$38,{2,3,4,5,6,7,8,9},FALSE),VLOOKUP(参数配置!$A$26,参数配置!$A$26:$I$38,{2,3,4,5,6,7,8,9},FALSE)),--(H58:O58&lt;&gt;"")),参数配置!$E$13*MAX(H58:O58)),2)))</f>
        <v/>
      </c>
      <c r="Q58" s="23">
        <f>IF($A58="","",IF(P58="","",ROUND(G58*P58,2)))</f>
        <v/>
      </c>
      <c r="R58" s="8">
        <f>IF($A58="","",IF(COUNTIFS(控制措施表!$B:$B,$A58,控制措施表!$C:$C,$F58,控制措施表!$F:$F,"是")=0,IF(COUNTIFS(控制措施表!$B:$B,$A58,控制措施表!$C:$C,$F58)=0,"",MINIFS(控制措施表!$E:$E,控制措施表!$B:$B,$A58,控制措施表!$C:$C,$F58)),MINIFS(控制措施表!$E:$E,控制措施表!$B:$B,$A58,控制措施表!$C:$C,$F58,控制措施表!$F:$F,"是")))</f>
        <v/>
      </c>
      <c r="S58" s="24">
        <f>IF($A58="","",IF(R58="",0,VLOOKUP(R58,参数配置!$D$4:$E$8,2,FALSE)))</f>
        <v/>
      </c>
      <c r="T58" s="23">
        <f>IF($A58="","",IF(Q58="","",ROUND(Q58*(1-S58),2)))</f>
        <v/>
      </c>
      <c r="U58" s="8">
        <f>IF($A58="","",IF(T58="","",IF(T58&gt;=参数配置!$B$14,"极高",IF(T58&gt;=参数配置!$B$15,"高",IF(T58&gt;=参数配置!$B$16,"中",IF(T58&gt;=参数配置!$B$17,"低","极低"))))))</f>
        <v/>
      </c>
      <c r="V58" s="8">
        <f>IF($A58="","",IF(P58="","",ROUND(P58,0)))</f>
        <v/>
      </c>
      <c r="W58" s="8">
        <f>IF($A58="","",IF(Q58="","",ROUND(Q58,0)))</f>
        <v/>
      </c>
      <c r="X58" s="8">
        <f>IF($A58="","",IF(U58="","",IF(U58="极高","每年必审",IF(U58="高","每年审计",IF(U58="中","两年一轮","按需抽查")))))</f>
        <v/>
      </c>
      <c r="Y58" s="24">
        <f>IF($A58="","",IF(OR(Q58="",Q58=0),"",(Q58-T58)/Q58))</f>
        <v/>
      </c>
    </row>
    <row r="59">
      <c r="P59" s="23">
        <f>IF($A59="","",IF(COUNT(H59:O59)=0,"",ROUND(MAX(SUMPRODUCT(H59:O59,IFERROR(VLOOKUP($C59,参数配置!$A$26:$I$38,{2,3,4,5,6,7,8,9},FALSE),VLOOKUP(参数配置!$A$26,参数配置!$A$26:$I$38,{2,3,4,5,6,7,8,9},FALSE)))/SUMPRODUCT(IFERROR(VLOOKUP($C59,参数配置!$A$26:$I$38,{2,3,4,5,6,7,8,9},FALSE),VLOOKUP(参数配置!$A$26,参数配置!$A$26:$I$38,{2,3,4,5,6,7,8,9},FALSE)),--(H59:O59&lt;&gt;"")),参数配置!$E$13*MAX(H59:O59)),2)))</f>
        <v/>
      </c>
      <c r="Q59" s="23">
        <f>IF($A59="","",IF(P59="","",ROUND(G59*P59,2)))</f>
        <v/>
      </c>
      <c r="R59" s="8">
        <f>IF($A59="","",IF(COUNTIFS(控制措施表!$B:$B,$A59,控制措施表!$C:$C,$F59,控制措施表!$F:$F,"是")=0,IF(COUNTIFS(控制措施表!$B:$B,$A59,控制措施表!$C:$C,$F59)=0,"",MINIFS(控制措施表!$E:$E,控制措施表!$B:$B,$A59,控制措施表!$C:$C,$F59)),MINIFS(控制措施表!$E:$E,控制措施表!$B:$B,$A59,控制措施表!$C:$C,$F59,控制措施表!$F:$F,"是")))</f>
        <v/>
      </c>
      <c r="S59" s="24">
        <f>IF($A59="","",IF(R59="",0,VLOOKUP(R59,参数配置!$D$4:$E$8,2,FALSE)))</f>
        <v/>
      </c>
      <c r="T59" s="23">
        <f>IF($A59="","",IF(Q59="","",ROUND(Q59*(1-S59),2)))</f>
        <v/>
      </c>
      <c r="U59" s="8">
        <f>IF($A59="","",IF(T59="","",IF(T59&gt;=参数配置!$B$14,"极高",IF(T59&gt;=参数配置!$B$15,"高",IF(T59&gt;=参数配置!$B$16,"中",IF(T59&gt;=参数配置!$B$17,"低","极低"))))))</f>
        <v/>
      </c>
      <c r="V59" s="8">
        <f>IF($A59="","",IF(P59="","",ROUND(P59,0)))</f>
        <v/>
      </c>
      <c r="W59" s="8">
        <f>IF($A59="","",IF(Q59="","",ROUND(Q59,0)))</f>
        <v/>
      </c>
      <c r="X59" s="8">
        <f>IF($A59="","",IF(U59="","",IF(U59="极高","每年必审",IF(U59="高","每年审计",IF(U59="中","两年一轮","按需抽查")))))</f>
        <v/>
      </c>
      <c r="Y59" s="24">
        <f>IF($A59="","",IF(OR(Q59="",Q59=0),"",(Q59-T59)/Q59))</f>
        <v/>
      </c>
    </row>
    <row r="60">
      <c r="P60" s="23">
        <f>IF($A60="","",IF(COUNT(H60:O60)=0,"",ROUND(MAX(SUMPRODUCT(H60:O60,IFERROR(VLOOKUP($C60,参数配置!$A$26:$I$38,{2,3,4,5,6,7,8,9},FALSE),VLOOKUP(参数配置!$A$26,参数配置!$A$26:$I$38,{2,3,4,5,6,7,8,9},FALSE)))/SUMPRODUCT(IFERROR(VLOOKUP($C60,参数配置!$A$26:$I$38,{2,3,4,5,6,7,8,9},FALSE),VLOOKUP(参数配置!$A$26,参数配置!$A$26:$I$38,{2,3,4,5,6,7,8,9},FALSE)),--(H60:O60&lt;&gt;"")),参数配置!$E$13*MAX(H60:O60)),2)))</f>
        <v/>
      </c>
      <c r="Q60" s="23">
        <f>IF($A60="","",IF(P60="","",ROUND(G60*P60,2)))</f>
        <v/>
      </c>
      <c r="R60" s="8">
        <f>IF($A60="","",IF(COUNTIFS(控制措施表!$B:$B,$A60,控制措施表!$C:$C,$F60,控制措施表!$F:$F,"是")=0,IF(COUNTIFS(控制措施表!$B:$B,$A60,控制措施表!$C:$C,$F60)=0,"",MINIFS(控制措施表!$E:$E,控制措施表!$B:$B,$A60,控制措施表!$C:$C,$F60)),MINIFS(控制措施表!$E:$E,控制措施表!$B:$B,$A60,控制措施表!$C:$C,$F60,控制措施表!$F:$F,"是")))</f>
        <v/>
      </c>
      <c r="S60" s="24">
        <f>IF($A60="","",IF(R60="",0,VLOOKUP(R60,参数配置!$D$4:$E$8,2,FALSE)))</f>
        <v/>
      </c>
      <c r="T60" s="23">
        <f>IF($A60="","",IF(Q60="","",ROUND(Q60*(1-S60),2)))</f>
        <v/>
      </c>
      <c r="U60" s="8">
        <f>IF($A60="","",IF(T60="","",IF(T60&gt;=参数配置!$B$14,"极高",IF(T60&gt;=参数配置!$B$15,"高",IF(T60&gt;=参数配置!$B$16,"中",IF(T60&gt;=参数配置!$B$17,"低","极低"))))))</f>
        <v/>
      </c>
      <c r="V60" s="8">
        <f>IF($A60="","",IF(P60="","",ROUND(P60,0)))</f>
        <v/>
      </c>
      <c r="W60" s="8">
        <f>IF($A60="","",IF(Q60="","",ROUND(Q60,0)))</f>
        <v/>
      </c>
      <c r="X60" s="8">
        <f>IF($A60="","",IF(U60="","",IF(U60="极高","每年必审",IF(U60="高","每年审计",IF(U60="中","两年一轮","按需抽查")))))</f>
        <v/>
      </c>
      <c r="Y60" s="24">
        <f>IF($A60="","",IF(OR(Q60="",Q60=0),"",(Q60-T60)/Q60))</f>
        <v/>
      </c>
    </row>
    <row r="61">
      <c r="P61" s="23">
        <f>IF($A61="","",IF(COUNT(H61:O61)=0,"",ROUND(MAX(SUMPRODUCT(H61:O61,IFERROR(VLOOKUP($C61,参数配置!$A$26:$I$38,{2,3,4,5,6,7,8,9},FALSE),VLOOKUP(参数配置!$A$26,参数配置!$A$26:$I$38,{2,3,4,5,6,7,8,9},FALSE)))/SUMPRODUCT(IFERROR(VLOOKUP($C61,参数配置!$A$26:$I$38,{2,3,4,5,6,7,8,9},FALSE),VLOOKUP(参数配置!$A$26,参数配置!$A$26:$I$38,{2,3,4,5,6,7,8,9},FALSE)),--(H61:O61&lt;&gt;"")),参数配置!$E$13*MAX(H61:O61)),2)))</f>
        <v/>
      </c>
      <c r="Q61" s="23">
        <f>IF($A61="","",IF(P61="","",ROUND(G61*P61,2)))</f>
        <v/>
      </c>
      <c r="R61" s="8">
        <f>IF($A61="","",IF(COUNTIFS(控制措施表!$B:$B,$A61,控制措施表!$C:$C,$F61,控制措施表!$F:$F,"是")=0,IF(COUNTIFS(控制措施表!$B:$B,$A61,控制措施表!$C:$C,$F61)=0,"",MINIFS(控制措施表!$E:$E,控制措施表!$B:$B,$A61,控制措施表!$C:$C,$F61)),MINIFS(控制措施表!$E:$E,控制措施表!$B:$B,$A61,控制措施表!$C:$C,$F61,控制措施表!$F:$F,"是")))</f>
        <v/>
      </c>
      <c r="S61" s="24">
        <f>IF($A61="","",IF(R61="",0,VLOOKUP(R61,参数配置!$D$4:$E$8,2,FALSE)))</f>
        <v/>
      </c>
      <c r="T61" s="23">
        <f>IF($A61="","",IF(Q61="","",ROUND(Q61*(1-S61),2)))</f>
        <v/>
      </c>
      <c r="U61" s="8">
        <f>IF($A61="","",IF(T61="","",IF(T61&gt;=参数配置!$B$14,"极高",IF(T61&gt;=参数配置!$B$15,"高",IF(T61&gt;=参数配置!$B$16,"中",IF(T61&gt;=参数配置!$B$17,"低","极低"))))))</f>
        <v/>
      </c>
      <c r="V61" s="8">
        <f>IF($A61="","",IF(P61="","",ROUND(P61,0)))</f>
        <v/>
      </c>
      <c r="W61" s="8">
        <f>IF($A61="","",IF(Q61="","",ROUND(Q61,0)))</f>
        <v/>
      </c>
      <c r="X61" s="8">
        <f>IF($A61="","",IF(U61="","",IF(U61="极高","每年必审",IF(U61="高","每年审计",IF(U61="中","两年一轮","按需抽查")))))</f>
        <v/>
      </c>
      <c r="Y61" s="24">
        <f>IF($A61="","",IF(OR(Q61="",Q61=0),"",(Q61-T61)/Q61))</f>
        <v/>
      </c>
    </row>
    <row r="62">
      <c r="P62" s="23">
        <f>IF($A62="","",IF(COUNT(H62:O62)=0,"",ROUND(MAX(SUMPRODUCT(H62:O62,IFERROR(VLOOKUP($C62,参数配置!$A$26:$I$38,{2,3,4,5,6,7,8,9},FALSE),VLOOKUP(参数配置!$A$26,参数配置!$A$26:$I$38,{2,3,4,5,6,7,8,9},FALSE)))/SUMPRODUCT(IFERROR(VLOOKUP($C62,参数配置!$A$26:$I$38,{2,3,4,5,6,7,8,9},FALSE),VLOOKUP(参数配置!$A$26,参数配置!$A$26:$I$38,{2,3,4,5,6,7,8,9},FALSE)),--(H62:O62&lt;&gt;"")),参数配置!$E$13*MAX(H62:O62)),2)))</f>
        <v/>
      </c>
      <c r="Q62" s="23">
        <f>IF($A62="","",IF(P62="","",ROUND(G62*P62,2)))</f>
        <v/>
      </c>
      <c r="R62" s="8">
        <f>IF($A62="","",IF(COUNTIFS(控制措施表!$B:$B,$A62,控制措施表!$C:$C,$F62,控制措施表!$F:$F,"是")=0,IF(COUNTIFS(控制措施表!$B:$B,$A62,控制措施表!$C:$C,$F62)=0,"",MINIFS(控制措施表!$E:$E,控制措施表!$B:$B,$A62,控制措施表!$C:$C,$F62)),MINIFS(控制措施表!$E:$E,控制措施表!$B:$B,$A62,控制措施表!$C:$C,$F62,控制措施表!$F:$F,"是")))</f>
        <v/>
      </c>
      <c r="S62" s="24">
        <f>IF($A62="","",IF(R62="",0,VLOOKUP(R62,参数配置!$D$4:$E$8,2,FALSE)))</f>
        <v/>
      </c>
      <c r="T62" s="23">
        <f>IF($A62="","",IF(Q62="","",ROUND(Q62*(1-S62),2)))</f>
        <v/>
      </c>
      <c r="U62" s="8">
        <f>IF($A62="","",IF(T62="","",IF(T62&gt;=参数配置!$B$14,"极高",IF(T62&gt;=参数配置!$B$15,"高",IF(T62&gt;=参数配置!$B$16,"中",IF(T62&gt;=参数配置!$B$17,"低","极低"))))))</f>
        <v/>
      </c>
      <c r="V62" s="8">
        <f>IF($A62="","",IF(P62="","",ROUND(P62,0)))</f>
        <v/>
      </c>
      <c r="W62" s="8">
        <f>IF($A62="","",IF(Q62="","",ROUND(Q62,0)))</f>
        <v/>
      </c>
      <c r="X62" s="8">
        <f>IF($A62="","",IF(U62="","",IF(U62="极高","每年必审",IF(U62="高","每年审计",IF(U62="中","两年一轮","按需抽查")))))</f>
        <v/>
      </c>
      <c r="Y62" s="24">
        <f>IF($A62="","",IF(OR(Q62="",Q62=0),"",(Q62-T62)/Q62))</f>
        <v/>
      </c>
    </row>
    <row r="63">
      <c r="P63" s="23">
        <f>IF($A63="","",IF(COUNT(H63:O63)=0,"",ROUND(MAX(SUMPRODUCT(H63:O63,IFERROR(VLOOKUP($C63,参数配置!$A$26:$I$38,{2,3,4,5,6,7,8,9},FALSE),VLOOKUP(参数配置!$A$26,参数配置!$A$26:$I$38,{2,3,4,5,6,7,8,9},FALSE)))/SUMPRODUCT(IFERROR(VLOOKUP($C63,参数配置!$A$26:$I$38,{2,3,4,5,6,7,8,9},FALSE),VLOOKUP(参数配置!$A$26,参数配置!$A$26:$I$38,{2,3,4,5,6,7,8,9},FALSE)),--(H63:O63&lt;&gt;"")),参数配置!$E$13*MAX(H63:O63)),2)))</f>
        <v/>
      </c>
      <c r="Q63" s="23">
        <f>IF($A63="","",IF(P63="","",ROUND(G63*P63,2)))</f>
        <v/>
      </c>
      <c r="R63" s="8">
        <f>IF($A63="","",IF(COUNTIFS(控制措施表!$B:$B,$A63,控制措施表!$C:$C,$F63,控制措施表!$F:$F,"是")=0,IF(COUNTIFS(控制措施表!$B:$B,$A63,控制措施表!$C:$C,$F63)=0,"",MINIFS(控制措施表!$E:$E,控制措施表!$B:$B,$A63,控制措施表!$C:$C,$F63)),MINIFS(控制措施表!$E:$E,控制措施表!$B:$B,$A63,控制措施表!$C:$C,$F63,控制措施表!$F:$F,"是")))</f>
        <v/>
      </c>
      <c r="S63" s="24">
        <f>IF($A63="","",IF(R63="",0,VLOOKUP(R63,参数配置!$D$4:$E$8,2,FALSE)))</f>
        <v/>
      </c>
      <c r="T63" s="23">
        <f>IF($A63="","",IF(Q63="","",ROUND(Q63*(1-S63),2)))</f>
        <v/>
      </c>
      <c r="U63" s="8">
        <f>IF($A63="","",IF(T63="","",IF(T63&gt;=参数配置!$B$14,"极高",IF(T63&gt;=参数配置!$B$15,"高",IF(T63&gt;=参数配置!$B$16,"中",IF(T63&gt;=参数配置!$B$17,"低","极低"))))))</f>
        <v/>
      </c>
      <c r="V63" s="8">
        <f>IF($A63="","",IF(P63="","",ROUND(P63,0)))</f>
        <v/>
      </c>
      <c r="W63" s="8">
        <f>IF($A63="","",IF(Q63="","",ROUND(Q63,0)))</f>
        <v/>
      </c>
      <c r="X63" s="8">
        <f>IF($A63="","",IF(U63="","",IF(U63="极高","每年必审",IF(U63="高","每年审计",IF(U63="中","两年一轮","按需抽查")))))</f>
        <v/>
      </c>
      <c r="Y63" s="24">
        <f>IF($A63="","",IF(OR(Q63="",Q63=0),"",(Q63-T63)/Q63))</f>
        <v/>
      </c>
    </row>
    <row r="64">
      <c r="P64" s="23">
        <f>IF($A64="","",IF(COUNT(H64:O64)=0,"",ROUND(MAX(SUMPRODUCT(H64:O64,IFERROR(VLOOKUP($C64,参数配置!$A$26:$I$38,{2,3,4,5,6,7,8,9},FALSE),VLOOKUP(参数配置!$A$26,参数配置!$A$26:$I$38,{2,3,4,5,6,7,8,9},FALSE)))/SUMPRODUCT(IFERROR(VLOOKUP($C64,参数配置!$A$26:$I$38,{2,3,4,5,6,7,8,9},FALSE),VLOOKUP(参数配置!$A$26,参数配置!$A$26:$I$38,{2,3,4,5,6,7,8,9},FALSE)),--(H64:O64&lt;&gt;"")),参数配置!$E$13*MAX(H64:O64)),2)))</f>
        <v/>
      </c>
      <c r="Q64" s="23">
        <f>IF($A64="","",IF(P64="","",ROUND(G64*P64,2)))</f>
        <v/>
      </c>
      <c r="R64" s="8">
        <f>IF($A64="","",IF(COUNTIFS(控制措施表!$B:$B,$A64,控制措施表!$C:$C,$F64,控制措施表!$F:$F,"是")=0,IF(COUNTIFS(控制措施表!$B:$B,$A64,控制措施表!$C:$C,$F64)=0,"",MINIFS(控制措施表!$E:$E,控制措施表!$B:$B,$A64,控制措施表!$C:$C,$F64)),MINIFS(控制措施表!$E:$E,控制措施表!$B:$B,$A64,控制措施表!$C:$C,$F64,控制措施表!$F:$F,"是")))</f>
        <v/>
      </c>
      <c r="S64" s="24">
        <f>IF($A64="","",IF(R64="",0,VLOOKUP(R64,参数配置!$D$4:$E$8,2,FALSE)))</f>
        <v/>
      </c>
      <c r="T64" s="23">
        <f>IF($A64="","",IF(Q64="","",ROUND(Q64*(1-S64),2)))</f>
        <v/>
      </c>
      <c r="U64" s="8">
        <f>IF($A64="","",IF(T64="","",IF(T64&gt;=参数配置!$B$14,"极高",IF(T64&gt;=参数配置!$B$15,"高",IF(T64&gt;=参数配置!$B$16,"中",IF(T64&gt;=参数配置!$B$17,"低","极低"))))))</f>
        <v/>
      </c>
      <c r="V64" s="8">
        <f>IF($A64="","",IF(P64="","",ROUND(P64,0)))</f>
        <v/>
      </c>
      <c r="W64" s="8">
        <f>IF($A64="","",IF(Q64="","",ROUND(Q64,0)))</f>
        <v/>
      </c>
      <c r="X64" s="8">
        <f>IF($A64="","",IF(U64="","",IF(U64="极高","每年必审",IF(U64="高","每年审计",IF(U64="中","两年一轮","按需抽查")))))</f>
        <v/>
      </c>
      <c r="Y64" s="24">
        <f>IF($A64="","",IF(OR(Q64="",Q64=0),"",(Q64-T64)/Q64))</f>
        <v/>
      </c>
    </row>
    <row r="65">
      <c r="P65" s="23">
        <f>IF($A65="","",IF(COUNT(H65:O65)=0,"",ROUND(MAX(SUMPRODUCT(H65:O65,IFERROR(VLOOKUP($C65,参数配置!$A$26:$I$38,{2,3,4,5,6,7,8,9},FALSE),VLOOKUP(参数配置!$A$26,参数配置!$A$26:$I$38,{2,3,4,5,6,7,8,9},FALSE)))/SUMPRODUCT(IFERROR(VLOOKUP($C65,参数配置!$A$26:$I$38,{2,3,4,5,6,7,8,9},FALSE),VLOOKUP(参数配置!$A$26,参数配置!$A$26:$I$38,{2,3,4,5,6,7,8,9},FALSE)),--(H65:O65&lt;&gt;"")),参数配置!$E$13*MAX(H65:O65)),2)))</f>
        <v/>
      </c>
      <c r="Q65" s="23">
        <f>IF($A65="","",IF(P65="","",ROUND(G65*P65,2)))</f>
        <v/>
      </c>
      <c r="R65" s="8">
        <f>IF($A65="","",IF(COUNTIFS(控制措施表!$B:$B,$A65,控制措施表!$C:$C,$F65,控制措施表!$F:$F,"是")=0,IF(COUNTIFS(控制措施表!$B:$B,$A65,控制措施表!$C:$C,$F65)=0,"",MINIFS(控制措施表!$E:$E,控制措施表!$B:$B,$A65,控制措施表!$C:$C,$F65)),MINIFS(控制措施表!$E:$E,控制措施表!$B:$B,$A65,控制措施表!$C:$C,$F65,控制措施表!$F:$F,"是")))</f>
        <v/>
      </c>
      <c r="S65" s="24">
        <f>IF($A65="","",IF(R65="",0,VLOOKUP(R65,参数配置!$D$4:$E$8,2,FALSE)))</f>
        <v/>
      </c>
      <c r="T65" s="23">
        <f>IF($A65="","",IF(Q65="","",ROUND(Q65*(1-S65),2)))</f>
        <v/>
      </c>
      <c r="U65" s="8">
        <f>IF($A65="","",IF(T65="","",IF(T65&gt;=参数配置!$B$14,"极高",IF(T65&gt;=参数配置!$B$15,"高",IF(T65&gt;=参数配置!$B$16,"中",IF(T65&gt;=参数配置!$B$17,"低","极低"))))))</f>
        <v/>
      </c>
      <c r="V65" s="8">
        <f>IF($A65="","",IF(P65="","",ROUND(P65,0)))</f>
        <v/>
      </c>
      <c r="W65" s="8">
        <f>IF($A65="","",IF(Q65="","",ROUND(Q65,0)))</f>
        <v/>
      </c>
      <c r="X65" s="8">
        <f>IF($A65="","",IF(U65="","",IF(U65="极高","每年必审",IF(U65="高","每年审计",IF(U65="中","两年一轮","按需抽查")))))</f>
        <v/>
      </c>
      <c r="Y65" s="24">
        <f>IF($A65="","",IF(OR(Q65="",Q65=0),"",(Q65-T65)/Q65))</f>
        <v/>
      </c>
    </row>
    <row r="66">
      <c r="P66" s="23">
        <f>IF($A66="","",IF(COUNT(H66:O66)=0,"",ROUND(MAX(SUMPRODUCT(H66:O66,IFERROR(VLOOKUP($C66,参数配置!$A$26:$I$38,{2,3,4,5,6,7,8,9},FALSE),VLOOKUP(参数配置!$A$26,参数配置!$A$26:$I$38,{2,3,4,5,6,7,8,9},FALSE)))/SUMPRODUCT(IFERROR(VLOOKUP($C66,参数配置!$A$26:$I$38,{2,3,4,5,6,7,8,9},FALSE),VLOOKUP(参数配置!$A$26,参数配置!$A$26:$I$38,{2,3,4,5,6,7,8,9},FALSE)),--(H66:O66&lt;&gt;"")),参数配置!$E$13*MAX(H66:O66)),2)))</f>
        <v/>
      </c>
      <c r="Q66" s="23">
        <f>IF($A66="","",IF(P66="","",ROUND(G66*P66,2)))</f>
        <v/>
      </c>
      <c r="R66" s="8">
        <f>IF($A66="","",IF(COUNTIFS(控制措施表!$B:$B,$A66,控制措施表!$C:$C,$F66,控制措施表!$F:$F,"是")=0,IF(COUNTIFS(控制措施表!$B:$B,$A66,控制措施表!$C:$C,$F66)=0,"",MINIFS(控制措施表!$E:$E,控制措施表!$B:$B,$A66,控制措施表!$C:$C,$F66)),MINIFS(控制措施表!$E:$E,控制措施表!$B:$B,$A66,控制措施表!$C:$C,$F66,控制措施表!$F:$F,"是")))</f>
        <v/>
      </c>
      <c r="S66" s="24">
        <f>IF($A66="","",IF(R66="",0,VLOOKUP(R66,参数配置!$D$4:$E$8,2,FALSE)))</f>
        <v/>
      </c>
      <c r="T66" s="23">
        <f>IF($A66="","",IF(Q66="","",ROUND(Q66*(1-S66),2)))</f>
        <v/>
      </c>
      <c r="U66" s="8">
        <f>IF($A66="","",IF(T66="","",IF(T66&gt;=参数配置!$B$14,"极高",IF(T66&gt;=参数配置!$B$15,"高",IF(T66&gt;=参数配置!$B$16,"中",IF(T66&gt;=参数配置!$B$17,"低","极低"))))))</f>
        <v/>
      </c>
      <c r="V66" s="8">
        <f>IF($A66="","",IF(P66="","",ROUND(P66,0)))</f>
        <v/>
      </c>
      <c r="W66" s="8">
        <f>IF($A66="","",IF(Q66="","",ROUND(Q66,0)))</f>
        <v/>
      </c>
      <c r="X66" s="8">
        <f>IF($A66="","",IF(U66="","",IF(U66="极高","每年必审",IF(U66="高","每年审计",IF(U66="中","两年一轮","按需抽查")))))</f>
        <v/>
      </c>
      <c r="Y66" s="24">
        <f>IF($A66="","",IF(OR(Q66="",Q66=0),"",(Q66-T66)/Q66))</f>
        <v/>
      </c>
    </row>
    <row r="67">
      <c r="P67" s="23">
        <f>IF($A67="","",IF(COUNT(H67:O67)=0,"",ROUND(MAX(SUMPRODUCT(H67:O67,IFERROR(VLOOKUP($C67,参数配置!$A$26:$I$38,{2,3,4,5,6,7,8,9},FALSE),VLOOKUP(参数配置!$A$26,参数配置!$A$26:$I$38,{2,3,4,5,6,7,8,9},FALSE)))/SUMPRODUCT(IFERROR(VLOOKUP($C67,参数配置!$A$26:$I$38,{2,3,4,5,6,7,8,9},FALSE),VLOOKUP(参数配置!$A$26,参数配置!$A$26:$I$38,{2,3,4,5,6,7,8,9},FALSE)),--(H67:O67&lt;&gt;"")),参数配置!$E$13*MAX(H67:O67)),2)))</f>
        <v/>
      </c>
      <c r="Q67" s="23">
        <f>IF($A67="","",IF(P67="","",ROUND(G67*P67,2)))</f>
        <v/>
      </c>
      <c r="R67" s="8">
        <f>IF($A67="","",IF(COUNTIFS(控制措施表!$B:$B,$A67,控制措施表!$C:$C,$F67,控制措施表!$F:$F,"是")=0,IF(COUNTIFS(控制措施表!$B:$B,$A67,控制措施表!$C:$C,$F67)=0,"",MINIFS(控制措施表!$E:$E,控制措施表!$B:$B,$A67,控制措施表!$C:$C,$F67)),MINIFS(控制措施表!$E:$E,控制措施表!$B:$B,$A67,控制措施表!$C:$C,$F67,控制措施表!$F:$F,"是")))</f>
        <v/>
      </c>
      <c r="S67" s="24">
        <f>IF($A67="","",IF(R67="",0,VLOOKUP(R67,参数配置!$D$4:$E$8,2,FALSE)))</f>
        <v/>
      </c>
      <c r="T67" s="23">
        <f>IF($A67="","",IF(Q67="","",ROUND(Q67*(1-S67),2)))</f>
        <v/>
      </c>
      <c r="U67" s="8">
        <f>IF($A67="","",IF(T67="","",IF(T67&gt;=参数配置!$B$14,"极高",IF(T67&gt;=参数配置!$B$15,"高",IF(T67&gt;=参数配置!$B$16,"中",IF(T67&gt;=参数配置!$B$17,"低","极低"))))))</f>
        <v/>
      </c>
      <c r="V67" s="8">
        <f>IF($A67="","",IF(P67="","",ROUND(P67,0)))</f>
        <v/>
      </c>
      <c r="W67" s="8">
        <f>IF($A67="","",IF(Q67="","",ROUND(Q67,0)))</f>
        <v/>
      </c>
      <c r="X67" s="8">
        <f>IF($A67="","",IF(U67="","",IF(U67="极高","每年必审",IF(U67="高","每年审计",IF(U67="中","两年一轮","按需抽查")))))</f>
        <v/>
      </c>
      <c r="Y67" s="24">
        <f>IF($A67="","",IF(OR(Q67="",Q67=0),"",(Q67-T67)/Q67))</f>
        <v/>
      </c>
    </row>
    <row r="68">
      <c r="P68" s="23">
        <f>IF($A68="","",IF(COUNT(H68:O68)=0,"",ROUND(MAX(SUMPRODUCT(H68:O68,IFERROR(VLOOKUP($C68,参数配置!$A$26:$I$38,{2,3,4,5,6,7,8,9},FALSE),VLOOKUP(参数配置!$A$26,参数配置!$A$26:$I$38,{2,3,4,5,6,7,8,9},FALSE)))/SUMPRODUCT(IFERROR(VLOOKUP($C68,参数配置!$A$26:$I$38,{2,3,4,5,6,7,8,9},FALSE),VLOOKUP(参数配置!$A$26,参数配置!$A$26:$I$38,{2,3,4,5,6,7,8,9},FALSE)),--(H68:O68&lt;&gt;"")),参数配置!$E$13*MAX(H68:O68)),2)))</f>
        <v/>
      </c>
      <c r="Q68" s="23">
        <f>IF($A68="","",IF(P68="","",ROUND(G68*P68,2)))</f>
        <v/>
      </c>
      <c r="R68" s="8">
        <f>IF($A68="","",IF(COUNTIFS(控制措施表!$B:$B,$A68,控制措施表!$C:$C,$F68,控制措施表!$F:$F,"是")=0,IF(COUNTIFS(控制措施表!$B:$B,$A68,控制措施表!$C:$C,$F68)=0,"",MINIFS(控制措施表!$E:$E,控制措施表!$B:$B,$A68,控制措施表!$C:$C,$F68)),MINIFS(控制措施表!$E:$E,控制措施表!$B:$B,$A68,控制措施表!$C:$C,$F68,控制措施表!$F:$F,"是")))</f>
        <v/>
      </c>
      <c r="S68" s="24">
        <f>IF($A68="","",IF(R68="",0,VLOOKUP(R68,参数配置!$D$4:$E$8,2,FALSE)))</f>
        <v/>
      </c>
      <c r="T68" s="23">
        <f>IF($A68="","",IF(Q68="","",ROUND(Q68*(1-S68),2)))</f>
        <v/>
      </c>
      <c r="U68" s="8">
        <f>IF($A68="","",IF(T68="","",IF(T68&gt;=参数配置!$B$14,"极高",IF(T68&gt;=参数配置!$B$15,"高",IF(T68&gt;=参数配置!$B$16,"中",IF(T68&gt;=参数配置!$B$17,"低","极低"))))))</f>
        <v/>
      </c>
      <c r="V68" s="8">
        <f>IF($A68="","",IF(P68="","",ROUND(P68,0)))</f>
        <v/>
      </c>
      <c r="W68" s="8">
        <f>IF($A68="","",IF(Q68="","",ROUND(Q68,0)))</f>
        <v/>
      </c>
      <c r="X68" s="8">
        <f>IF($A68="","",IF(U68="","",IF(U68="极高","每年必审",IF(U68="高","每年审计",IF(U68="中","两年一轮","按需抽查")))))</f>
        <v/>
      </c>
      <c r="Y68" s="24">
        <f>IF($A68="","",IF(OR(Q68="",Q68=0),"",(Q68-T68)/Q68))</f>
        <v/>
      </c>
    </row>
    <row r="69">
      <c r="P69" s="23">
        <f>IF($A69="","",IF(COUNT(H69:O69)=0,"",ROUND(MAX(SUMPRODUCT(H69:O69,IFERROR(VLOOKUP($C69,参数配置!$A$26:$I$38,{2,3,4,5,6,7,8,9},FALSE),VLOOKUP(参数配置!$A$26,参数配置!$A$26:$I$38,{2,3,4,5,6,7,8,9},FALSE)))/SUMPRODUCT(IFERROR(VLOOKUP($C69,参数配置!$A$26:$I$38,{2,3,4,5,6,7,8,9},FALSE),VLOOKUP(参数配置!$A$26,参数配置!$A$26:$I$38,{2,3,4,5,6,7,8,9},FALSE)),--(H69:O69&lt;&gt;"")),参数配置!$E$13*MAX(H69:O69)),2)))</f>
        <v/>
      </c>
      <c r="Q69" s="23">
        <f>IF($A69="","",IF(P69="","",ROUND(G69*P69,2)))</f>
        <v/>
      </c>
      <c r="R69" s="8">
        <f>IF($A69="","",IF(COUNTIFS(控制措施表!$B:$B,$A69,控制措施表!$C:$C,$F69,控制措施表!$F:$F,"是")=0,IF(COUNTIFS(控制措施表!$B:$B,$A69,控制措施表!$C:$C,$F69)=0,"",MINIFS(控制措施表!$E:$E,控制措施表!$B:$B,$A69,控制措施表!$C:$C,$F69)),MINIFS(控制措施表!$E:$E,控制措施表!$B:$B,$A69,控制措施表!$C:$C,$F69,控制措施表!$F:$F,"是")))</f>
        <v/>
      </c>
      <c r="S69" s="24">
        <f>IF($A69="","",IF(R69="",0,VLOOKUP(R69,参数配置!$D$4:$E$8,2,FALSE)))</f>
        <v/>
      </c>
      <c r="T69" s="23">
        <f>IF($A69="","",IF(Q69="","",ROUND(Q69*(1-S69),2)))</f>
        <v/>
      </c>
      <c r="U69" s="8">
        <f>IF($A69="","",IF(T69="","",IF(T69&gt;=参数配置!$B$14,"极高",IF(T69&gt;=参数配置!$B$15,"高",IF(T69&gt;=参数配置!$B$16,"中",IF(T69&gt;=参数配置!$B$17,"低","极低"))))))</f>
        <v/>
      </c>
      <c r="V69" s="8">
        <f>IF($A69="","",IF(P69="","",ROUND(P69,0)))</f>
        <v/>
      </c>
      <c r="W69" s="8">
        <f>IF($A69="","",IF(Q69="","",ROUND(Q69,0)))</f>
        <v/>
      </c>
      <c r="X69" s="8">
        <f>IF($A69="","",IF(U69="","",IF(U69="极高","每年必审",IF(U69="高","每年审计",IF(U69="中","两年一轮","按需抽查")))))</f>
        <v/>
      </c>
      <c r="Y69" s="24">
        <f>IF($A69="","",IF(OR(Q69="",Q69=0),"",(Q69-T69)/Q69))</f>
        <v/>
      </c>
    </row>
    <row r="70">
      <c r="P70" s="23">
        <f>IF($A70="","",IF(COUNT(H70:O70)=0,"",ROUND(MAX(SUMPRODUCT(H70:O70,IFERROR(VLOOKUP($C70,参数配置!$A$26:$I$38,{2,3,4,5,6,7,8,9},FALSE),VLOOKUP(参数配置!$A$26,参数配置!$A$26:$I$38,{2,3,4,5,6,7,8,9},FALSE)))/SUMPRODUCT(IFERROR(VLOOKUP($C70,参数配置!$A$26:$I$38,{2,3,4,5,6,7,8,9},FALSE),VLOOKUP(参数配置!$A$26,参数配置!$A$26:$I$38,{2,3,4,5,6,7,8,9},FALSE)),--(H70:O70&lt;&gt;"")),参数配置!$E$13*MAX(H70:O70)),2)))</f>
        <v/>
      </c>
      <c r="Q70" s="23">
        <f>IF($A70="","",IF(P70="","",ROUND(G70*P70,2)))</f>
        <v/>
      </c>
      <c r="R70" s="8">
        <f>IF($A70="","",IF(COUNTIFS(控制措施表!$B:$B,$A70,控制措施表!$C:$C,$F70,控制措施表!$F:$F,"是")=0,IF(COUNTIFS(控制措施表!$B:$B,$A70,控制措施表!$C:$C,$F70)=0,"",MINIFS(控制措施表!$E:$E,控制措施表!$B:$B,$A70,控制措施表!$C:$C,$F70)),MINIFS(控制措施表!$E:$E,控制措施表!$B:$B,$A70,控制措施表!$C:$C,$F70,控制措施表!$F:$F,"是")))</f>
        <v/>
      </c>
      <c r="S70" s="24">
        <f>IF($A70="","",IF(R70="",0,VLOOKUP(R70,参数配置!$D$4:$E$8,2,FALSE)))</f>
        <v/>
      </c>
      <c r="T70" s="23">
        <f>IF($A70="","",IF(Q70="","",ROUND(Q70*(1-S70),2)))</f>
        <v/>
      </c>
      <c r="U70" s="8">
        <f>IF($A70="","",IF(T70="","",IF(T70&gt;=参数配置!$B$14,"极高",IF(T70&gt;=参数配置!$B$15,"高",IF(T70&gt;=参数配置!$B$16,"中",IF(T70&gt;=参数配置!$B$17,"低","极低"))))))</f>
        <v/>
      </c>
      <c r="V70" s="8">
        <f>IF($A70="","",IF(P70="","",ROUND(P70,0)))</f>
        <v/>
      </c>
      <c r="W70" s="8">
        <f>IF($A70="","",IF(Q70="","",ROUND(Q70,0)))</f>
        <v/>
      </c>
      <c r="X70" s="8">
        <f>IF($A70="","",IF(U70="","",IF(U70="极高","每年必审",IF(U70="高","每年审计",IF(U70="中","两年一轮","按需抽查")))))</f>
        <v/>
      </c>
      <c r="Y70" s="24">
        <f>IF($A70="","",IF(OR(Q70="",Q70=0),"",(Q70-T70)/Q70))</f>
        <v/>
      </c>
    </row>
    <row r="71">
      <c r="P71" s="23">
        <f>IF($A71="","",IF(COUNT(H71:O71)=0,"",ROUND(MAX(SUMPRODUCT(H71:O71,IFERROR(VLOOKUP($C71,参数配置!$A$26:$I$38,{2,3,4,5,6,7,8,9},FALSE),VLOOKUP(参数配置!$A$26,参数配置!$A$26:$I$38,{2,3,4,5,6,7,8,9},FALSE)))/SUMPRODUCT(IFERROR(VLOOKUP($C71,参数配置!$A$26:$I$38,{2,3,4,5,6,7,8,9},FALSE),VLOOKUP(参数配置!$A$26,参数配置!$A$26:$I$38,{2,3,4,5,6,7,8,9},FALSE)),--(H71:O71&lt;&gt;"")),参数配置!$E$13*MAX(H71:O71)),2)))</f>
        <v/>
      </c>
      <c r="Q71" s="23">
        <f>IF($A71="","",IF(P71="","",ROUND(G71*P71,2)))</f>
        <v/>
      </c>
      <c r="R71" s="8">
        <f>IF($A71="","",IF(COUNTIFS(控制措施表!$B:$B,$A71,控制措施表!$C:$C,$F71,控制措施表!$F:$F,"是")=0,IF(COUNTIFS(控制措施表!$B:$B,$A71,控制措施表!$C:$C,$F71)=0,"",MINIFS(控制措施表!$E:$E,控制措施表!$B:$B,$A71,控制措施表!$C:$C,$F71)),MINIFS(控制措施表!$E:$E,控制措施表!$B:$B,$A71,控制措施表!$C:$C,$F71,控制措施表!$F:$F,"是")))</f>
        <v/>
      </c>
      <c r="S71" s="24">
        <f>IF($A71="","",IF(R71="",0,VLOOKUP(R71,参数配置!$D$4:$E$8,2,FALSE)))</f>
        <v/>
      </c>
      <c r="T71" s="23">
        <f>IF($A71="","",IF(Q71="","",ROUND(Q71*(1-S71),2)))</f>
        <v/>
      </c>
      <c r="U71" s="8">
        <f>IF($A71="","",IF(T71="","",IF(T71&gt;=参数配置!$B$14,"极高",IF(T71&gt;=参数配置!$B$15,"高",IF(T71&gt;=参数配置!$B$16,"中",IF(T71&gt;=参数配置!$B$17,"低","极低"))))))</f>
        <v/>
      </c>
      <c r="V71" s="8">
        <f>IF($A71="","",IF(P71="","",ROUND(P71,0)))</f>
        <v/>
      </c>
      <c r="W71" s="8">
        <f>IF($A71="","",IF(Q71="","",ROUND(Q71,0)))</f>
        <v/>
      </c>
      <c r="X71" s="8">
        <f>IF($A71="","",IF(U71="","",IF(U71="极高","每年必审",IF(U71="高","每年审计",IF(U71="中","两年一轮","按需抽查")))))</f>
        <v/>
      </c>
      <c r="Y71" s="24">
        <f>IF($A71="","",IF(OR(Q71="",Q71=0),"",(Q71-T71)/Q71))</f>
        <v/>
      </c>
    </row>
    <row r="72">
      <c r="P72" s="23">
        <f>IF($A72="","",IF(COUNT(H72:O72)=0,"",ROUND(MAX(SUMPRODUCT(H72:O72,IFERROR(VLOOKUP($C72,参数配置!$A$26:$I$38,{2,3,4,5,6,7,8,9},FALSE),VLOOKUP(参数配置!$A$26,参数配置!$A$26:$I$38,{2,3,4,5,6,7,8,9},FALSE)))/SUMPRODUCT(IFERROR(VLOOKUP($C72,参数配置!$A$26:$I$38,{2,3,4,5,6,7,8,9},FALSE),VLOOKUP(参数配置!$A$26,参数配置!$A$26:$I$38,{2,3,4,5,6,7,8,9},FALSE)),--(H72:O72&lt;&gt;"")),参数配置!$E$13*MAX(H72:O72)),2)))</f>
        <v/>
      </c>
      <c r="Q72" s="23">
        <f>IF($A72="","",IF(P72="","",ROUND(G72*P72,2)))</f>
        <v/>
      </c>
      <c r="R72" s="8">
        <f>IF($A72="","",IF(COUNTIFS(控制措施表!$B:$B,$A72,控制措施表!$C:$C,$F72,控制措施表!$F:$F,"是")=0,IF(COUNTIFS(控制措施表!$B:$B,$A72,控制措施表!$C:$C,$F72)=0,"",MINIFS(控制措施表!$E:$E,控制措施表!$B:$B,$A72,控制措施表!$C:$C,$F72)),MINIFS(控制措施表!$E:$E,控制措施表!$B:$B,$A72,控制措施表!$C:$C,$F72,控制措施表!$F:$F,"是")))</f>
        <v/>
      </c>
      <c r="S72" s="24">
        <f>IF($A72="","",IF(R72="",0,VLOOKUP(R72,参数配置!$D$4:$E$8,2,FALSE)))</f>
        <v/>
      </c>
      <c r="T72" s="23">
        <f>IF($A72="","",IF(Q72="","",ROUND(Q72*(1-S72),2)))</f>
        <v/>
      </c>
      <c r="U72" s="8">
        <f>IF($A72="","",IF(T72="","",IF(T72&gt;=参数配置!$B$14,"极高",IF(T72&gt;=参数配置!$B$15,"高",IF(T72&gt;=参数配置!$B$16,"中",IF(T72&gt;=参数配置!$B$17,"低","极低"))))))</f>
        <v/>
      </c>
      <c r="V72" s="8">
        <f>IF($A72="","",IF(P72="","",ROUND(P72,0)))</f>
        <v/>
      </c>
      <c r="W72" s="8">
        <f>IF($A72="","",IF(Q72="","",ROUND(Q72,0)))</f>
        <v/>
      </c>
      <c r="X72" s="8">
        <f>IF($A72="","",IF(U72="","",IF(U72="极高","每年必审",IF(U72="高","每年审计",IF(U72="中","两年一轮","按需抽查")))))</f>
        <v/>
      </c>
      <c r="Y72" s="24">
        <f>IF($A72="","",IF(OR(Q72="",Q72=0),"",(Q72-T72)/Q72))</f>
        <v/>
      </c>
    </row>
    <row r="73">
      <c r="P73" s="23">
        <f>IF($A73="","",IF(COUNT(H73:O73)=0,"",ROUND(MAX(SUMPRODUCT(H73:O73,IFERROR(VLOOKUP($C73,参数配置!$A$26:$I$38,{2,3,4,5,6,7,8,9},FALSE),VLOOKUP(参数配置!$A$26,参数配置!$A$26:$I$38,{2,3,4,5,6,7,8,9},FALSE)))/SUMPRODUCT(IFERROR(VLOOKUP($C73,参数配置!$A$26:$I$38,{2,3,4,5,6,7,8,9},FALSE),VLOOKUP(参数配置!$A$26,参数配置!$A$26:$I$38,{2,3,4,5,6,7,8,9},FALSE)),--(H73:O73&lt;&gt;"")),参数配置!$E$13*MAX(H73:O73)),2)))</f>
        <v/>
      </c>
      <c r="Q73" s="23">
        <f>IF($A73="","",IF(P73="","",ROUND(G73*P73,2)))</f>
        <v/>
      </c>
      <c r="R73" s="8">
        <f>IF($A73="","",IF(COUNTIFS(控制措施表!$B:$B,$A73,控制措施表!$C:$C,$F73,控制措施表!$F:$F,"是")=0,IF(COUNTIFS(控制措施表!$B:$B,$A73,控制措施表!$C:$C,$F73)=0,"",MINIFS(控制措施表!$E:$E,控制措施表!$B:$B,$A73,控制措施表!$C:$C,$F73)),MINIFS(控制措施表!$E:$E,控制措施表!$B:$B,$A73,控制措施表!$C:$C,$F73,控制措施表!$F:$F,"是")))</f>
        <v/>
      </c>
      <c r="S73" s="24">
        <f>IF($A73="","",IF(R73="",0,VLOOKUP(R73,参数配置!$D$4:$E$8,2,FALSE)))</f>
        <v/>
      </c>
      <c r="T73" s="23">
        <f>IF($A73="","",IF(Q73="","",ROUND(Q73*(1-S73),2)))</f>
        <v/>
      </c>
      <c r="U73" s="8">
        <f>IF($A73="","",IF(T73="","",IF(T73&gt;=参数配置!$B$14,"极高",IF(T73&gt;=参数配置!$B$15,"高",IF(T73&gt;=参数配置!$B$16,"中",IF(T73&gt;=参数配置!$B$17,"低","极低"))))))</f>
        <v/>
      </c>
      <c r="V73" s="8">
        <f>IF($A73="","",IF(P73="","",ROUND(P73,0)))</f>
        <v/>
      </c>
      <c r="W73" s="8">
        <f>IF($A73="","",IF(Q73="","",ROUND(Q73,0)))</f>
        <v/>
      </c>
      <c r="X73" s="8">
        <f>IF($A73="","",IF(U73="","",IF(U73="极高","每年必审",IF(U73="高","每年审计",IF(U73="中","两年一轮","按需抽查")))))</f>
        <v/>
      </c>
      <c r="Y73" s="24">
        <f>IF($A73="","",IF(OR(Q73="",Q73=0),"",(Q73-T73)/Q73))</f>
        <v/>
      </c>
    </row>
    <row r="74">
      <c r="P74" s="23">
        <f>IF($A74="","",IF(COUNT(H74:O74)=0,"",ROUND(MAX(SUMPRODUCT(H74:O74,IFERROR(VLOOKUP($C74,参数配置!$A$26:$I$38,{2,3,4,5,6,7,8,9},FALSE),VLOOKUP(参数配置!$A$26,参数配置!$A$26:$I$38,{2,3,4,5,6,7,8,9},FALSE)))/SUMPRODUCT(IFERROR(VLOOKUP($C74,参数配置!$A$26:$I$38,{2,3,4,5,6,7,8,9},FALSE),VLOOKUP(参数配置!$A$26,参数配置!$A$26:$I$38,{2,3,4,5,6,7,8,9},FALSE)),--(H74:O74&lt;&gt;"")),参数配置!$E$13*MAX(H74:O74)),2)))</f>
        <v/>
      </c>
      <c r="Q74" s="23">
        <f>IF($A74="","",IF(P74="","",ROUND(G74*P74,2)))</f>
        <v/>
      </c>
      <c r="R74" s="8">
        <f>IF($A74="","",IF(COUNTIFS(控制措施表!$B:$B,$A74,控制措施表!$C:$C,$F74,控制措施表!$F:$F,"是")=0,IF(COUNTIFS(控制措施表!$B:$B,$A74,控制措施表!$C:$C,$F74)=0,"",MINIFS(控制措施表!$E:$E,控制措施表!$B:$B,$A74,控制措施表!$C:$C,$F74)),MINIFS(控制措施表!$E:$E,控制措施表!$B:$B,$A74,控制措施表!$C:$C,$F74,控制措施表!$F:$F,"是")))</f>
        <v/>
      </c>
      <c r="S74" s="24">
        <f>IF($A74="","",IF(R74="",0,VLOOKUP(R74,参数配置!$D$4:$E$8,2,FALSE)))</f>
        <v/>
      </c>
      <c r="T74" s="23">
        <f>IF($A74="","",IF(Q74="","",ROUND(Q74*(1-S74),2)))</f>
        <v/>
      </c>
      <c r="U74" s="8">
        <f>IF($A74="","",IF(T74="","",IF(T74&gt;=参数配置!$B$14,"极高",IF(T74&gt;=参数配置!$B$15,"高",IF(T74&gt;=参数配置!$B$16,"中",IF(T74&gt;=参数配置!$B$17,"低","极低"))))))</f>
        <v/>
      </c>
      <c r="V74" s="8">
        <f>IF($A74="","",IF(P74="","",ROUND(P74,0)))</f>
        <v/>
      </c>
      <c r="W74" s="8">
        <f>IF($A74="","",IF(Q74="","",ROUND(Q74,0)))</f>
        <v/>
      </c>
      <c r="X74" s="8">
        <f>IF($A74="","",IF(U74="","",IF(U74="极高","每年必审",IF(U74="高","每年审计",IF(U74="中","两年一轮","按需抽查")))))</f>
        <v/>
      </c>
      <c r="Y74" s="24">
        <f>IF($A74="","",IF(OR(Q74="",Q74=0),"",(Q74-T74)/Q74))</f>
        <v/>
      </c>
    </row>
    <row r="75">
      <c r="P75" s="23">
        <f>IF($A75="","",IF(COUNT(H75:O75)=0,"",ROUND(MAX(SUMPRODUCT(H75:O75,IFERROR(VLOOKUP($C75,参数配置!$A$26:$I$38,{2,3,4,5,6,7,8,9},FALSE),VLOOKUP(参数配置!$A$26,参数配置!$A$26:$I$38,{2,3,4,5,6,7,8,9},FALSE)))/SUMPRODUCT(IFERROR(VLOOKUP($C75,参数配置!$A$26:$I$38,{2,3,4,5,6,7,8,9},FALSE),VLOOKUP(参数配置!$A$26,参数配置!$A$26:$I$38,{2,3,4,5,6,7,8,9},FALSE)),--(H75:O75&lt;&gt;"")),参数配置!$E$13*MAX(H75:O75)),2)))</f>
        <v/>
      </c>
      <c r="Q75" s="23">
        <f>IF($A75="","",IF(P75="","",ROUND(G75*P75,2)))</f>
        <v/>
      </c>
      <c r="R75" s="8">
        <f>IF($A75="","",IF(COUNTIFS(控制措施表!$B:$B,$A75,控制措施表!$C:$C,$F75,控制措施表!$F:$F,"是")=0,IF(COUNTIFS(控制措施表!$B:$B,$A75,控制措施表!$C:$C,$F75)=0,"",MINIFS(控制措施表!$E:$E,控制措施表!$B:$B,$A75,控制措施表!$C:$C,$F75)),MINIFS(控制措施表!$E:$E,控制措施表!$B:$B,$A75,控制措施表!$C:$C,$F75,控制措施表!$F:$F,"是")))</f>
        <v/>
      </c>
      <c r="S75" s="24">
        <f>IF($A75="","",IF(R75="",0,VLOOKUP(R75,参数配置!$D$4:$E$8,2,FALSE)))</f>
        <v/>
      </c>
      <c r="T75" s="23">
        <f>IF($A75="","",IF(Q75="","",ROUND(Q75*(1-S75),2)))</f>
        <v/>
      </c>
      <c r="U75" s="8">
        <f>IF($A75="","",IF(T75="","",IF(T75&gt;=参数配置!$B$14,"极高",IF(T75&gt;=参数配置!$B$15,"高",IF(T75&gt;=参数配置!$B$16,"中",IF(T75&gt;=参数配置!$B$17,"低","极低"))))))</f>
        <v/>
      </c>
      <c r="V75" s="8">
        <f>IF($A75="","",IF(P75="","",ROUND(P75,0)))</f>
        <v/>
      </c>
      <c r="W75" s="8">
        <f>IF($A75="","",IF(Q75="","",ROUND(Q75,0)))</f>
        <v/>
      </c>
      <c r="X75" s="8">
        <f>IF($A75="","",IF(U75="","",IF(U75="极高","每年必审",IF(U75="高","每年审计",IF(U75="中","两年一轮","按需抽查")))))</f>
        <v/>
      </c>
      <c r="Y75" s="24">
        <f>IF($A75="","",IF(OR(Q75="",Q75=0),"",(Q75-T75)/Q75))</f>
        <v/>
      </c>
    </row>
    <row r="76">
      <c r="P76" s="23">
        <f>IF($A76="","",IF(COUNT(H76:O76)=0,"",ROUND(MAX(SUMPRODUCT(H76:O76,IFERROR(VLOOKUP($C76,参数配置!$A$26:$I$38,{2,3,4,5,6,7,8,9},FALSE),VLOOKUP(参数配置!$A$26,参数配置!$A$26:$I$38,{2,3,4,5,6,7,8,9},FALSE)))/SUMPRODUCT(IFERROR(VLOOKUP($C76,参数配置!$A$26:$I$38,{2,3,4,5,6,7,8,9},FALSE),VLOOKUP(参数配置!$A$26,参数配置!$A$26:$I$38,{2,3,4,5,6,7,8,9},FALSE)),--(H76:O76&lt;&gt;"")),参数配置!$E$13*MAX(H76:O76)),2)))</f>
        <v/>
      </c>
      <c r="Q76" s="23">
        <f>IF($A76="","",IF(P76="","",ROUND(G76*P76,2)))</f>
        <v/>
      </c>
      <c r="R76" s="8">
        <f>IF($A76="","",IF(COUNTIFS(控制措施表!$B:$B,$A76,控制措施表!$C:$C,$F76,控制措施表!$F:$F,"是")=0,IF(COUNTIFS(控制措施表!$B:$B,$A76,控制措施表!$C:$C,$F76)=0,"",MINIFS(控制措施表!$E:$E,控制措施表!$B:$B,$A76,控制措施表!$C:$C,$F76)),MINIFS(控制措施表!$E:$E,控制措施表!$B:$B,$A76,控制措施表!$C:$C,$F76,控制措施表!$F:$F,"是")))</f>
        <v/>
      </c>
      <c r="S76" s="24">
        <f>IF($A76="","",IF(R76="",0,VLOOKUP(R76,参数配置!$D$4:$E$8,2,FALSE)))</f>
        <v/>
      </c>
      <c r="T76" s="23">
        <f>IF($A76="","",IF(Q76="","",ROUND(Q76*(1-S76),2)))</f>
        <v/>
      </c>
      <c r="U76" s="8">
        <f>IF($A76="","",IF(T76="","",IF(T76&gt;=参数配置!$B$14,"极高",IF(T76&gt;=参数配置!$B$15,"高",IF(T76&gt;=参数配置!$B$16,"中",IF(T76&gt;=参数配置!$B$17,"低","极低"))))))</f>
        <v/>
      </c>
      <c r="V76" s="8">
        <f>IF($A76="","",IF(P76="","",ROUND(P76,0)))</f>
        <v/>
      </c>
      <c r="W76" s="8">
        <f>IF($A76="","",IF(Q76="","",ROUND(Q76,0)))</f>
        <v/>
      </c>
      <c r="X76" s="8">
        <f>IF($A76="","",IF(U76="","",IF(U76="极高","每年必审",IF(U76="高","每年审计",IF(U76="中","两年一轮","按需抽查")))))</f>
        <v/>
      </c>
      <c r="Y76" s="24">
        <f>IF($A76="","",IF(OR(Q76="",Q76=0),"",(Q76-T76)/Q76))</f>
        <v/>
      </c>
    </row>
    <row r="77">
      <c r="P77" s="23">
        <f>IF($A77="","",IF(COUNT(H77:O77)=0,"",ROUND(MAX(SUMPRODUCT(H77:O77,IFERROR(VLOOKUP($C77,参数配置!$A$26:$I$38,{2,3,4,5,6,7,8,9},FALSE),VLOOKUP(参数配置!$A$26,参数配置!$A$26:$I$38,{2,3,4,5,6,7,8,9},FALSE)))/SUMPRODUCT(IFERROR(VLOOKUP($C77,参数配置!$A$26:$I$38,{2,3,4,5,6,7,8,9},FALSE),VLOOKUP(参数配置!$A$26,参数配置!$A$26:$I$38,{2,3,4,5,6,7,8,9},FALSE)),--(H77:O77&lt;&gt;"")),参数配置!$E$13*MAX(H77:O77)),2)))</f>
        <v/>
      </c>
      <c r="Q77" s="23">
        <f>IF($A77="","",IF(P77="","",ROUND(G77*P77,2)))</f>
        <v/>
      </c>
      <c r="R77" s="8">
        <f>IF($A77="","",IF(COUNTIFS(控制措施表!$B:$B,$A77,控制措施表!$C:$C,$F77,控制措施表!$F:$F,"是")=0,IF(COUNTIFS(控制措施表!$B:$B,$A77,控制措施表!$C:$C,$F77)=0,"",MINIFS(控制措施表!$E:$E,控制措施表!$B:$B,$A77,控制措施表!$C:$C,$F77)),MINIFS(控制措施表!$E:$E,控制措施表!$B:$B,$A77,控制措施表!$C:$C,$F77,控制措施表!$F:$F,"是")))</f>
        <v/>
      </c>
      <c r="S77" s="24">
        <f>IF($A77="","",IF(R77="",0,VLOOKUP(R77,参数配置!$D$4:$E$8,2,FALSE)))</f>
        <v/>
      </c>
      <c r="T77" s="23">
        <f>IF($A77="","",IF(Q77="","",ROUND(Q77*(1-S77),2)))</f>
        <v/>
      </c>
      <c r="U77" s="8">
        <f>IF($A77="","",IF(T77="","",IF(T77&gt;=参数配置!$B$14,"极高",IF(T77&gt;=参数配置!$B$15,"高",IF(T77&gt;=参数配置!$B$16,"中",IF(T77&gt;=参数配置!$B$17,"低","极低"))))))</f>
        <v/>
      </c>
      <c r="V77" s="8">
        <f>IF($A77="","",IF(P77="","",ROUND(P77,0)))</f>
        <v/>
      </c>
      <c r="W77" s="8">
        <f>IF($A77="","",IF(Q77="","",ROUND(Q77,0)))</f>
        <v/>
      </c>
      <c r="X77" s="8">
        <f>IF($A77="","",IF(U77="","",IF(U77="极高","每年必审",IF(U77="高","每年审计",IF(U77="中","两年一轮","按需抽查")))))</f>
        <v/>
      </c>
      <c r="Y77" s="24">
        <f>IF($A77="","",IF(OR(Q77="",Q77=0),"",(Q77-T77)/Q77))</f>
        <v/>
      </c>
    </row>
    <row r="78">
      <c r="P78" s="23">
        <f>IF($A78="","",IF(COUNT(H78:O78)=0,"",ROUND(MAX(SUMPRODUCT(H78:O78,IFERROR(VLOOKUP($C78,参数配置!$A$26:$I$38,{2,3,4,5,6,7,8,9},FALSE),VLOOKUP(参数配置!$A$26,参数配置!$A$26:$I$38,{2,3,4,5,6,7,8,9},FALSE)))/SUMPRODUCT(IFERROR(VLOOKUP($C78,参数配置!$A$26:$I$38,{2,3,4,5,6,7,8,9},FALSE),VLOOKUP(参数配置!$A$26,参数配置!$A$26:$I$38,{2,3,4,5,6,7,8,9},FALSE)),--(H78:O78&lt;&gt;"")),参数配置!$E$13*MAX(H78:O78)),2)))</f>
        <v/>
      </c>
      <c r="Q78" s="23">
        <f>IF($A78="","",IF(P78="","",ROUND(G78*P78,2)))</f>
        <v/>
      </c>
      <c r="R78" s="8">
        <f>IF($A78="","",IF(COUNTIFS(控制措施表!$B:$B,$A78,控制措施表!$C:$C,$F78,控制措施表!$F:$F,"是")=0,IF(COUNTIFS(控制措施表!$B:$B,$A78,控制措施表!$C:$C,$F78)=0,"",MINIFS(控制措施表!$E:$E,控制措施表!$B:$B,$A78,控制措施表!$C:$C,$F78)),MINIFS(控制措施表!$E:$E,控制措施表!$B:$B,$A78,控制措施表!$C:$C,$F78,控制措施表!$F:$F,"是")))</f>
        <v/>
      </c>
      <c r="S78" s="24">
        <f>IF($A78="","",IF(R78="",0,VLOOKUP(R78,参数配置!$D$4:$E$8,2,FALSE)))</f>
        <v/>
      </c>
      <c r="T78" s="23">
        <f>IF($A78="","",IF(Q78="","",ROUND(Q78*(1-S78),2)))</f>
        <v/>
      </c>
      <c r="U78" s="8">
        <f>IF($A78="","",IF(T78="","",IF(T78&gt;=参数配置!$B$14,"极高",IF(T78&gt;=参数配置!$B$15,"高",IF(T78&gt;=参数配置!$B$16,"中",IF(T78&gt;=参数配置!$B$17,"低","极低"))))))</f>
        <v/>
      </c>
      <c r="V78" s="8">
        <f>IF($A78="","",IF(P78="","",ROUND(P78,0)))</f>
        <v/>
      </c>
      <c r="W78" s="8">
        <f>IF($A78="","",IF(Q78="","",ROUND(Q78,0)))</f>
        <v/>
      </c>
      <c r="X78" s="8">
        <f>IF($A78="","",IF(U78="","",IF(U78="极高","每年必审",IF(U78="高","每年审计",IF(U78="中","两年一轮","按需抽查")))))</f>
        <v/>
      </c>
      <c r="Y78" s="24">
        <f>IF($A78="","",IF(OR(Q78="",Q78=0),"",(Q78-T78)/Q78))</f>
        <v/>
      </c>
    </row>
    <row r="79">
      <c r="P79" s="23">
        <f>IF($A79="","",IF(COUNT(H79:O79)=0,"",ROUND(MAX(SUMPRODUCT(H79:O79,IFERROR(VLOOKUP($C79,参数配置!$A$26:$I$38,{2,3,4,5,6,7,8,9},FALSE),VLOOKUP(参数配置!$A$26,参数配置!$A$26:$I$38,{2,3,4,5,6,7,8,9},FALSE)))/SUMPRODUCT(IFERROR(VLOOKUP($C79,参数配置!$A$26:$I$38,{2,3,4,5,6,7,8,9},FALSE),VLOOKUP(参数配置!$A$26,参数配置!$A$26:$I$38,{2,3,4,5,6,7,8,9},FALSE)),--(H79:O79&lt;&gt;"")),参数配置!$E$13*MAX(H79:O79)),2)))</f>
        <v/>
      </c>
      <c r="Q79" s="23">
        <f>IF($A79="","",IF(P79="","",ROUND(G79*P79,2)))</f>
        <v/>
      </c>
      <c r="R79" s="8">
        <f>IF($A79="","",IF(COUNTIFS(控制措施表!$B:$B,$A79,控制措施表!$C:$C,$F79,控制措施表!$F:$F,"是")=0,IF(COUNTIFS(控制措施表!$B:$B,$A79,控制措施表!$C:$C,$F79)=0,"",MINIFS(控制措施表!$E:$E,控制措施表!$B:$B,$A79,控制措施表!$C:$C,$F79)),MINIFS(控制措施表!$E:$E,控制措施表!$B:$B,$A79,控制措施表!$C:$C,$F79,控制措施表!$F:$F,"是")))</f>
        <v/>
      </c>
      <c r="S79" s="24">
        <f>IF($A79="","",IF(R79="",0,VLOOKUP(R79,参数配置!$D$4:$E$8,2,FALSE)))</f>
        <v/>
      </c>
      <c r="T79" s="23">
        <f>IF($A79="","",IF(Q79="","",ROUND(Q79*(1-S79),2)))</f>
        <v/>
      </c>
      <c r="U79" s="8">
        <f>IF($A79="","",IF(T79="","",IF(T79&gt;=参数配置!$B$14,"极高",IF(T79&gt;=参数配置!$B$15,"高",IF(T79&gt;=参数配置!$B$16,"中",IF(T79&gt;=参数配置!$B$17,"低","极低"))))))</f>
        <v/>
      </c>
      <c r="V79" s="8">
        <f>IF($A79="","",IF(P79="","",ROUND(P79,0)))</f>
        <v/>
      </c>
      <c r="W79" s="8">
        <f>IF($A79="","",IF(Q79="","",ROUND(Q79,0)))</f>
        <v/>
      </c>
      <c r="X79" s="8">
        <f>IF($A79="","",IF(U79="","",IF(U79="极高","每年必审",IF(U79="高","每年审计",IF(U79="中","两年一轮","按需抽查")))))</f>
        <v/>
      </c>
      <c r="Y79" s="24">
        <f>IF($A79="","",IF(OR(Q79="",Q79=0),"",(Q79-T79)/Q79))</f>
        <v/>
      </c>
    </row>
    <row r="80">
      <c r="P80" s="23">
        <f>IF($A80="","",IF(COUNT(H80:O80)=0,"",ROUND(MAX(SUMPRODUCT(H80:O80,IFERROR(VLOOKUP($C80,参数配置!$A$26:$I$38,{2,3,4,5,6,7,8,9},FALSE),VLOOKUP(参数配置!$A$26,参数配置!$A$26:$I$38,{2,3,4,5,6,7,8,9},FALSE)))/SUMPRODUCT(IFERROR(VLOOKUP($C80,参数配置!$A$26:$I$38,{2,3,4,5,6,7,8,9},FALSE),VLOOKUP(参数配置!$A$26,参数配置!$A$26:$I$38,{2,3,4,5,6,7,8,9},FALSE)),--(H80:O80&lt;&gt;"")),参数配置!$E$13*MAX(H80:O80)),2)))</f>
        <v/>
      </c>
      <c r="Q80" s="23">
        <f>IF($A80="","",IF(P80="","",ROUND(G80*P80,2)))</f>
        <v/>
      </c>
      <c r="R80" s="8">
        <f>IF($A80="","",IF(COUNTIFS(控制措施表!$B:$B,$A80,控制措施表!$C:$C,$F80,控制措施表!$F:$F,"是")=0,IF(COUNTIFS(控制措施表!$B:$B,$A80,控制措施表!$C:$C,$F80)=0,"",MINIFS(控制措施表!$E:$E,控制措施表!$B:$B,$A80,控制措施表!$C:$C,$F80)),MINIFS(控制措施表!$E:$E,控制措施表!$B:$B,$A80,控制措施表!$C:$C,$F80,控制措施表!$F:$F,"是")))</f>
        <v/>
      </c>
      <c r="S80" s="24">
        <f>IF($A80="","",IF(R80="",0,VLOOKUP(R80,参数配置!$D$4:$E$8,2,FALSE)))</f>
        <v/>
      </c>
      <c r="T80" s="23">
        <f>IF($A80="","",IF(Q80="","",ROUND(Q80*(1-S80),2)))</f>
        <v/>
      </c>
      <c r="U80" s="8">
        <f>IF($A80="","",IF(T80="","",IF(T80&gt;=参数配置!$B$14,"极高",IF(T80&gt;=参数配置!$B$15,"高",IF(T80&gt;=参数配置!$B$16,"中",IF(T80&gt;=参数配置!$B$17,"低","极低"))))))</f>
        <v/>
      </c>
      <c r="V80" s="8">
        <f>IF($A80="","",IF(P80="","",ROUND(P80,0)))</f>
        <v/>
      </c>
      <c r="W80" s="8">
        <f>IF($A80="","",IF(Q80="","",ROUND(Q80,0)))</f>
        <v/>
      </c>
      <c r="X80" s="8">
        <f>IF($A80="","",IF(U80="","",IF(U80="极高","每年必审",IF(U80="高","每年审计",IF(U80="中","两年一轮","按需抽查")))))</f>
        <v/>
      </c>
      <c r="Y80" s="24">
        <f>IF($A80="","",IF(OR(Q80="",Q80=0),"",(Q80-T80)/Q80))</f>
        <v/>
      </c>
    </row>
    <row r="81">
      <c r="P81" s="23">
        <f>IF($A81="","",IF(COUNT(H81:O81)=0,"",ROUND(MAX(SUMPRODUCT(H81:O81,IFERROR(VLOOKUP($C81,参数配置!$A$26:$I$38,{2,3,4,5,6,7,8,9},FALSE),VLOOKUP(参数配置!$A$26,参数配置!$A$26:$I$38,{2,3,4,5,6,7,8,9},FALSE)))/SUMPRODUCT(IFERROR(VLOOKUP($C81,参数配置!$A$26:$I$38,{2,3,4,5,6,7,8,9},FALSE),VLOOKUP(参数配置!$A$26,参数配置!$A$26:$I$38,{2,3,4,5,6,7,8,9},FALSE)),--(H81:O81&lt;&gt;"")),参数配置!$E$13*MAX(H81:O81)),2)))</f>
        <v/>
      </c>
      <c r="Q81" s="23">
        <f>IF($A81="","",IF(P81="","",ROUND(G81*P81,2)))</f>
        <v/>
      </c>
      <c r="R81" s="8">
        <f>IF($A81="","",IF(COUNTIFS(控制措施表!$B:$B,$A81,控制措施表!$C:$C,$F81,控制措施表!$F:$F,"是")=0,IF(COUNTIFS(控制措施表!$B:$B,$A81,控制措施表!$C:$C,$F81)=0,"",MINIFS(控制措施表!$E:$E,控制措施表!$B:$B,$A81,控制措施表!$C:$C,$F81)),MINIFS(控制措施表!$E:$E,控制措施表!$B:$B,$A81,控制措施表!$C:$C,$F81,控制措施表!$F:$F,"是")))</f>
        <v/>
      </c>
      <c r="S81" s="24">
        <f>IF($A81="","",IF(R81="",0,VLOOKUP(R81,参数配置!$D$4:$E$8,2,FALSE)))</f>
        <v/>
      </c>
      <c r="T81" s="23">
        <f>IF($A81="","",IF(Q81="","",ROUND(Q81*(1-S81),2)))</f>
        <v/>
      </c>
      <c r="U81" s="8">
        <f>IF($A81="","",IF(T81="","",IF(T81&gt;=参数配置!$B$14,"极高",IF(T81&gt;=参数配置!$B$15,"高",IF(T81&gt;=参数配置!$B$16,"中",IF(T81&gt;=参数配置!$B$17,"低","极低"))))))</f>
        <v/>
      </c>
      <c r="V81" s="8">
        <f>IF($A81="","",IF(P81="","",ROUND(P81,0)))</f>
        <v/>
      </c>
      <c r="W81" s="8">
        <f>IF($A81="","",IF(Q81="","",ROUND(Q81,0)))</f>
        <v/>
      </c>
      <c r="X81" s="8">
        <f>IF($A81="","",IF(U81="","",IF(U81="极高","每年必审",IF(U81="高","每年审计",IF(U81="中","两年一轮","按需抽查")))))</f>
        <v/>
      </c>
      <c r="Y81" s="24">
        <f>IF($A81="","",IF(OR(Q81="",Q81=0),"",(Q81-T81)/Q81))</f>
        <v/>
      </c>
    </row>
    <row r="82">
      <c r="P82" s="23">
        <f>IF($A82="","",IF(COUNT(H82:O82)=0,"",ROUND(MAX(SUMPRODUCT(H82:O82,IFERROR(VLOOKUP($C82,参数配置!$A$26:$I$38,{2,3,4,5,6,7,8,9},FALSE),VLOOKUP(参数配置!$A$26,参数配置!$A$26:$I$38,{2,3,4,5,6,7,8,9},FALSE)))/SUMPRODUCT(IFERROR(VLOOKUP($C82,参数配置!$A$26:$I$38,{2,3,4,5,6,7,8,9},FALSE),VLOOKUP(参数配置!$A$26,参数配置!$A$26:$I$38,{2,3,4,5,6,7,8,9},FALSE)),--(H82:O82&lt;&gt;"")),参数配置!$E$13*MAX(H82:O82)),2)))</f>
        <v/>
      </c>
      <c r="Q82" s="23">
        <f>IF($A82="","",IF(P82="","",ROUND(G82*P82,2)))</f>
        <v/>
      </c>
      <c r="R82" s="8">
        <f>IF($A82="","",IF(COUNTIFS(控制措施表!$B:$B,$A82,控制措施表!$C:$C,$F82,控制措施表!$F:$F,"是")=0,IF(COUNTIFS(控制措施表!$B:$B,$A82,控制措施表!$C:$C,$F82)=0,"",MINIFS(控制措施表!$E:$E,控制措施表!$B:$B,$A82,控制措施表!$C:$C,$F82)),MINIFS(控制措施表!$E:$E,控制措施表!$B:$B,$A82,控制措施表!$C:$C,$F82,控制措施表!$F:$F,"是")))</f>
        <v/>
      </c>
      <c r="S82" s="24">
        <f>IF($A82="","",IF(R82="",0,VLOOKUP(R82,参数配置!$D$4:$E$8,2,FALSE)))</f>
        <v/>
      </c>
      <c r="T82" s="23">
        <f>IF($A82="","",IF(Q82="","",ROUND(Q82*(1-S82),2)))</f>
        <v/>
      </c>
      <c r="U82" s="8">
        <f>IF($A82="","",IF(T82="","",IF(T82&gt;=参数配置!$B$14,"极高",IF(T82&gt;=参数配置!$B$15,"高",IF(T82&gt;=参数配置!$B$16,"中",IF(T82&gt;=参数配置!$B$17,"低","极低"))))))</f>
        <v/>
      </c>
      <c r="V82" s="8">
        <f>IF($A82="","",IF(P82="","",ROUND(P82,0)))</f>
        <v/>
      </c>
      <c r="W82" s="8">
        <f>IF($A82="","",IF(Q82="","",ROUND(Q82,0)))</f>
        <v/>
      </c>
      <c r="X82" s="8">
        <f>IF($A82="","",IF(U82="","",IF(U82="极高","每年必审",IF(U82="高","每年审计",IF(U82="中","两年一轮","按需抽查")))))</f>
        <v/>
      </c>
      <c r="Y82" s="24">
        <f>IF($A82="","",IF(OR(Q82="",Q82=0),"",(Q82-T82)/Q82))</f>
        <v/>
      </c>
    </row>
    <row r="83">
      <c r="P83" s="23">
        <f>IF($A83="","",IF(COUNT(H83:O83)=0,"",ROUND(MAX(SUMPRODUCT(H83:O83,IFERROR(VLOOKUP($C83,参数配置!$A$26:$I$38,{2,3,4,5,6,7,8,9},FALSE),VLOOKUP(参数配置!$A$26,参数配置!$A$26:$I$38,{2,3,4,5,6,7,8,9},FALSE)))/SUMPRODUCT(IFERROR(VLOOKUP($C83,参数配置!$A$26:$I$38,{2,3,4,5,6,7,8,9},FALSE),VLOOKUP(参数配置!$A$26,参数配置!$A$26:$I$38,{2,3,4,5,6,7,8,9},FALSE)),--(H83:O83&lt;&gt;"")),参数配置!$E$13*MAX(H83:O83)),2)))</f>
        <v/>
      </c>
      <c r="Q83" s="23">
        <f>IF($A83="","",IF(P83="","",ROUND(G83*P83,2)))</f>
        <v/>
      </c>
      <c r="R83" s="8">
        <f>IF($A83="","",IF(COUNTIFS(控制措施表!$B:$B,$A83,控制措施表!$C:$C,$F83,控制措施表!$F:$F,"是")=0,IF(COUNTIFS(控制措施表!$B:$B,$A83,控制措施表!$C:$C,$F83)=0,"",MINIFS(控制措施表!$E:$E,控制措施表!$B:$B,$A83,控制措施表!$C:$C,$F83)),MINIFS(控制措施表!$E:$E,控制措施表!$B:$B,$A83,控制措施表!$C:$C,$F83,控制措施表!$F:$F,"是")))</f>
        <v/>
      </c>
      <c r="S83" s="24">
        <f>IF($A83="","",IF(R83="",0,VLOOKUP(R83,参数配置!$D$4:$E$8,2,FALSE)))</f>
        <v/>
      </c>
      <c r="T83" s="23">
        <f>IF($A83="","",IF(Q83="","",ROUND(Q83*(1-S83),2)))</f>
        <v/>
      </c>
      <c r="U83" s="8">
        <f>IF($A83="","",IF(T83="","",IF(T83&gt;=参数配置!$B$14,"极高",IF(T83&gt;=参数配置!$B$15,"高",IF(T83&gt;=参数配置!$B$16,"中",IF(T83&gt;=参数配置!$B$17,"低","极低"))))))</f>
        <v/>
      </c>
      <c r="V83" s="8">
        <f>IF($A83="","",IF(P83="","",ROUND(P83,0)))</f>
        <v/>
      </c>
      <c r="W83" s="8">
        <f>IF($A83="","",IF(Q83="","",ROUND(Q83,0)))</f>
        <v/>
      </c>
      <c r="X83" s="8">
        <f>IF($A83="","",IF(U83="","",IF(U83="极高","每年必审",IF(U83="高","每年审计",IF(U83="中","两年一轮","按需抽查")))))</f>
        <v/>
      </c>
      <c r="Y83" s="24">
        <f>IF($A83="","",IF(OR(Q83="",Q83=0),"",(Q83-T83)/Q83))</f>
        <v/>
      </c>
    </row>
    <row r="84">
      <c r="P84" s="23">
        <f>IF($A84="","",IF(COUNT(H84:O84)=0,"",ROUND(MAX(SUMPRODUCT(H84:O84,IFERROR(VLOOKUP($C84,参数配置!$A$26:$I$38,{2,3,4,5,6,7,8,9},FALSE),VLOOKUP(参数配置!$A$26,参数配置!$A$26:$I$38,{2,3,4,5,6,7,8,9},FALSE)))/SUMPRODUCT(IFERROR(VLOOKUP($C84,参数配置!$A$26:$I$38,{2,3,4,5,6,7,8,9},FALSE),VLOOKUP(参数配置!$A$26,参数配置!$A$26:$I$38,{2,3,4,5,6,7,8,9},FALSE)),--(H84:O84&lt;&gt;"")),参数配置!$E$13*MAX(H84:O84)),2)))</f>
        <v/>
      </c>
      <c r="Q84" s="23">
        <f>IF($A84="","",IF(P84="","",ROUND(G84*P84,2)))</f>
        <v/>
      </c>
      <c r="R84" s="8">
        <f>IF($A84="","",IF(COUNTIFS(控制措施表!$B:$B,$A84,控制措施表!$C:$C,$F84,控制措施表!$F:$F,"是")=0,IF(COUNTIFS(控制措施表!$B:$B,$A84,控制措施表!$C:$C,$F84)=0,"",MINIFS(控制措施表!$E:$E,控制措施表!$B:$B,$A84,控制措施表!$C:$C,$F84)),MINIFS(控制措施表!$E:$E,控制措施表!$B:$B,$A84,控制措施表!$C:$C,$F84,控制措施表!$F:$F,"是")))</f>
        <v/>
      </c>
      <c r="S84" s="24">
        <f>IF($A84="","",IF(R84="",0,VLOOKUP(R84,参数配置!$D$4:$E$8,2,FALSE)))</f>
        <v/>
      </c>
      <c r="T84" s="23">
        <f>IF($A84="","",IF(Q84="","",ROUND(Q84*(1-S84),2)))</f>
        <v/>
      </c>
      <c r="U84" s="8">
        <f>IF($A84="","",IF(T84="","",IF(T84&gt;=参数配置!$B$14,"极高",IF(T84&gt;=参数配置!$B$15,"高",IF(T84&gt;=参数配置!$B$16,"中",IF(T84&gt;=参数配置!$B$17,"低","极低"))))))</f>
        <v/>
      </c>
      <c r="V84" s="8">
        <f>IF($A84="","",IF(P84="","",ROUND(P84,0)))</f>
        <v/>
      </c>
      <c r="W84" s="8">
        <f>IF($A84="","",IF(Q84="","",ROUND(Q84,0)))</f>
        <v/>
      </c>
      <c r="X84" s="8">
        <f>IF($A84="","",IF(U84="","",IF(U84="极高","每年必审",IF(U84="高","每年审计",IF(U84="中","两年一轮","按需抽查")))))</f>
        <v/>
      </c>
      <c r="Y84" s="24">
        <f>IF($A84="","",IF(OR(Q84="",Q84=0),"",(Q84-T84)/Q84))</f>
        <v/>
      </c>
    </row>
    <row r="85">
      <c r="P85" s="23">
        <f>IF($A85="","",IF(COUNT(H85:O85)=0,"",ROUND(MAX(SUMPRODUCT(H85:O85,IFERROR(VLOOKUP($C85,参数配置!$A$26:$I$38,{2,3,4,5,6,7,8,9},FALSE),VLOOKUP(参数配置!$A$26,参数配置!$A$26:$I$38,{2,3,4,5,6,7,8,9},FALSE)))/SUMPRODUCT(IFERROR(VLOOKUP($C85,参数配置!$A$26:$I$38,{2,3,4,5,6,7,8,9},FALSE),VLOOKUP(参数配置!$A$26,参数配置!$A$26:$I$38,{2,3,4,5,6,7,8,9},FALSE)),--(H85:O85&lt;&gt;"")),参数配置!$E$13*MAX(H85:O85)),2)))</f>
        <v/>
      </c>
      <c r="Q85" s="23">
        <f>IF($A85="","",IF(P85="","",ROUND(G85*P85,2)))</f>
        <v/>
      </c>
      <c r="R85" s="8">
        <f>IF($A85="","",IF(COUNTIFS(控制措施表!$B:$B,$A85,控制措施表!$C:$C,$F85,控制措施表!$F:$F,"是")=0,IF(COUNTIFS(控制措施表!$B:$B,$A85,控制措施表!$C:$C,$F85)=0,"",MINIFS(控制措施表!$E:$E,控制措施表!$B:$B,$A85,控制措施表!$C:$C,$F85)),MINIFS(控制措施表!$E:$E,控制措施表!$B:$B,$A85,控制措施表!$C:$C,$F85,控制措施表!$F:$F,"是")))</f>
        <v/>
      </c>
      <c r="S85" s="24">
        <f>IF($A85="","",IF(R85="",0,VLOOKUP(R85,参数配置!$D$4:$E$8,2,FALSE)))</f>
        <v/>
      </c>
      <c r="T85" s="23">
        <f>IF($A85="","",IF(Q85="","",ROUND(Q85*(1-S85),2)))</f>
        <v/>
      </c>
      <c r="U85" s="8">
        <f>IF($A85="","",IF(T85="","",IF(T85&gt;=参数配置!$B$14,"极高",IF(T85&gt;=参数配置!$B$15,"高",IF(T85&gt;=参数配置!$B$16,"中",IF(T85&gt;=参数配置!$B$17,"低","极低"))))))</f>
        <v/>
      </c>
      <c r="V85" s="8">
        <f>IF($A85="","",IF(P85="","",ROUND(P85,0)))</f>
        <v/>
      </c>
      <c r="W85" s="8">
        <f>IF($A85="","",IF(Q85="","",ROUND(Q85,0)))</f>
        <v/>
      </c>
      <c r="X85" s="8">
        <f>IF($A85="","",IF(U85="","",IF(U85="极高","每年必审",IF(U85="高","每年审计",IF(U85="中","两年一轮","按需抽查")))))</f>
        <v/>
      </c>
      <c r="Y85" s="24">
        <f>IF($A85="","",IF(OR(Q85="",Q85=0),"",(Q85-T85)/Q85))</f>
        <v/>
      </c>
    </row>
    <row r="86">
      <c r="P86" s="23">
        <f>IF($A86="","",IF(COUNT(H86:O86)=0,"",ROUND(MAX(SUMPRODUCT(H86:O86,IFERROR(VLOOKUP($C86,参数配置!$A$26:$I$38,{2,3,4,5,6,7,8,9},FALSE),VLOOKUP(参数配置!$A$26,参数配置!$A$26:$I$38,{2,3,4,5,6,7,8,9},FALSE)))/SUMPRODUCT(IFERROR(VLOOKUP($C86,参数配置!$A$26:$I$38,{2,3,4,5,6,7,8,9},FALSE),VLOOKUP(参数配置!$A$26,参数配置!$A$26:$I$38,{2,3,4,5,6,7,8,9},FALSE)),--(H86:O86&lt;&gt;"")),参数配置!$E$13*MAX(H86:O86)),2)))</f>
        <v/>
      </c>
      <c r="Q86" s="23">
        <f>IF($A86="","",IF(P86="","",ROUND(G86*P86,2)))</f>
        <v/>
      </c>
      <c r="R86" s="8">
        <f>IF($A86="","",IF(COUNTIFS(控制措施表!$B:$B,$A86,控制措施表!$C:$C,$F86,控制措施表!$F:$F,"是")=0,IF(COUNTIFS(控制措施表!$B:$B,$A86,控制措施表!$C:$C,$F86)=0,"",MINIFS(控制措施表!$E:$E,控制措施表!$B:$B,$A86,控制措施表!$C:$C,$F86)),MINIFS(控制措施表!$E:$E,控制措施表!$B:$B,$A86,控制措施表!$C:$C,$F86,控制措施表!$F:$F,"是")))</f>
        <v/>
      </c>
      <c r="S86" s="24">
        <f>IF($A86="","",IF(R86="",0,VLOOKUP(R86,参数配置!$D$4:$E$8,2,FALSE)))</f>
        <v/>
      </c>
      <c r="T86" s="23">
        <f>IF($A86="","",IF(Q86="","",ROUND(Q86*(1-S86),2)))</f>
        <v/>
      </c>
      <c r="U86" s="8">
        <f>IF($A86="","",IF(T86="","",IF(T86&gt;=参数配置!$B$14,"极高",IF(T86&gt;=参数配置!$B$15,"高",IF(T86&gt;=参数配置!$B$16,"中",IF(T86&gt;=参数配置!$B$17,"低","极低"))))))</f>
        <v/>
      </c>
      <c r="V86" s="8">
        <f>IF($A86="","",IF(P86="","",ROUND(P86,0)))</f>
        <v/>
      </c>
      <c r="W86" s="8">
        <f>IF($A86="","",IF(Q86="","",ROUND(Q86,0)))</f>
        <v/>
      </c>
      <c r="X86" s="8">
        <f>IF($A86="","",IF(U86="","",IF(U86="极高","每年必审",IF(U86="高","每年审计",IF(U86="中","两年一轮","按需抽查")))))</f>
        <v/>
      </c>
      <c r="Y86" s="24">
        <f>IF($A86="","",IF(OR(Q86="",Q86=0),"",(Q86-T86)/Q86))</f>
        <v/>
      </c>
    </row>
    <row r="87">
      <c r="P87" s="23">
        <f>IF($A87="","",IF(COUNT(H87:O87)=0,"",ROUND(MAX(SUMPRODUCT(H87:O87,IFERROR(VLOOKUP($C87,参数配置!$A$26:$I$38,{2,3,4,5,6,7,8,9},FALSE),VLOOKUP(参数配置!$A$26,参数配置!$A$26:$I$38,{2,3,4,5,6,7,8,9},FALSE)))/SUMPRODUCT(IFERROR(VLOOKUP($C87,参数配置!$A$26:$I$38,{2,3,4,5,6,7,8,9},FALSE),VLOOKUP(参数配置!$A$26,参数配置!$A$26:$I$38,{2,3,4,5,6,7,8,9},FALSE)),--(H87:O87&lt;&gt;"")),参数配置!$E$13*MAX(H87:O87)),2)))</f>
        <v/>
      </c>
      <c r="Q87" s="23">
        <f>IF($A87="","",IF(P87="","",ROUND(G87*P87,2)))</f>
        <v/>
      </c>
      <c r="R87" s="8">
        <f>IF($A87="","",IF(COUNTIFS(控制措施表!$B:$B,$A87,控制措施表!$C:$C,$F87,控制措施表!$F:$F,"是")=0,IF(COUNTIFS(控制措施表!$B:$B,$A87,控制措施表!$C:$C,$F87)=0,"",MINIFS(控制措施表!$E:$E,控制措施表!$B:$B,$A87,控制措施表!$C:$C,$F87)),MINIFS(控制措施表!$E:$E,控制措施表!$B:$B,$A87,控制措施表!$C:$C,$F87,控制措施表!$F:$F,"是")))</f>
        <v/>
      </c>
      <c r="S87" s="24">
        <f>IF($A87="","",IF(R87="",0,VLOOKUP(R87,参数配置!$D$4:$E$8,2,FALSE)))</f>
        <v/>
      </c>
      <c r="T87" s="23">
        <f>IF($A87="","",IF(Q87="","",ROUND(Q87*(1-S87),2)))</f>
        <v/>
      </c>
      <c r="U87" s="8">
        <f>IF($A87="","",IF(T87="","",IF(T87&gt;=参数配置!$B$14,"极高",IF(T87&gt;=参数配置!$B$15,"高",IF(T87&gt;=参数配置!$B$16,"中",IF(T87&gt;=参数配置!$B$17,"低","极低"))))))</f>
        <v/>
      </c>
      <c r="V87" s="8">
        <f>IF($A87="","",IF(P87="","",ROUND(P87,0)))</f>
        <v/>
      </c>
      <c r="W87" s="8">
        <f>IF($A87="","",IF(Q87="","",ROUND(Q87,0)))</f>
        <v/>
      </c>
      <c r="X87" s="8">
        <f>IF($A87="","",IF(U87="","",IF(U87="极高","每年必审",IF(U87="高","每年审计",IF(U87="中","两年一轮","按需抽查")))))</f>
        <v/>
      </c>
      <c r="Y87" s="24">
        <f>IF($A87="","",IF(OR(Q87="",Q87=0),"",(Q87-T87)/Q87))</f>
        <v/>
      </c>
    </row>
    <row r="88">
      <c r="P88" s="23">
        <f>IF($A88="","",IF(COUNT(H88:O88)=0,"",ROUND(MAX(SUMPRODUCT(H88:O88,IFERROR(VLOOKUP($C88,参数配置!$A$26:$I$38,{2,3,4,5,6,7,8,9},FALSE),VLOOKUP(参数配置!$A$26,参数配置!$A$26:$I$38,{2,3,4,5,6,7,8,9},FALSE)))/SUMPRODUCT(IFERROR(VLOOKUP($C88,参数配置!$A$26:$I$38,{2,3,4,5,6,7,8,9},FALSE),VLOOKUP(参数配置!$A$26,参数配置!$A$26:$I$38,{2,3,4,5,6,7,8,9},FALSE)),--(H88:O88&lt;&gt;"")),参数配置!$E$13*MAX(H88:O88)),2)))</f>
        <v/>
      </c>
      <c r="Q88" s="23">
        <f>IF($A88="","",IF(P88="","",ROUND(G88*P88,2)))</f>
        <v/>
      </c>
      <c r="R88" s="8">
        <f>IF($A88="","",IF(COUNTIFS(控制措施表!$B:$B,$A88,控制措施表!$C:$C,$F88,控制措施表!$F:$F,"是")=0,IF(COUNTIFS(控制措施表!$B:$B,$A88,控制措施表!$C:$C,$F88)=0,"",MINIFS(控制措施表!$E:$E,控制措施表!$B:$B,$A88,控制措施表!$C:$C,$F88)),MINIFS(控制措施表!$E:$E,控制措施表!$B:$B,$A88,控制措施表!$C:$C,$F88,控制措施表!$F:$F,"是")))</f>
        <v/>
      </c>
      <c r="S88" s="24">
        <f>IF($A88="","",IF(R88="",0,VLOOKUP(R88,参数配置!$D$4:$E$8,2,FALSE)))</f>
        <v/>
      </c>
      <c r="T88" s="23">
        <f>IF($A88="","",IF(Q88="","",ROUND(Q88*(1-S88),2)))</f>
        <v/>
      </c>
      <c r="U88" s="8">
        <f>IF($A88="","",IF(T88="","",IF(T88&gt;=参数配置!$B$14,"极高",IF(T88&gt;=参数配置!$B$15,"高",IF(T88&gt;=参数配置!$B$16,"中",IF(T88&gt;=参数配置!$B$17,"低","极低"))))))</f>
        <v/>
      </c>
      <c r="V88" s="8">
        <f>IF($A88="","",IF(P88="","",ROUND(P88,0)))</f>
        <v/>
      </c>
      <c r="W88" s="8">
        <f>IF($A88="","",IF(Q88="","",ROUND(Q88,0)))</f>
        <v/>
      </c>
      <c r="X88" s="8">
        <f>IF($A88="","",IF(U88="","",IF(U88="极高","每年必审",IF(U88="高","每年审计",IF(U88="中","两年一轮","按需抽查")))))</f>
        <v/>
      </c>
      <c r="Y88" s="24">
        <f>IF($A88="","",IF(OR(Q88="",Q88=0),"",(Q88-T88)/Q88))</f>
        <v/>
      </c>
    </row>
    <row r="89">
      <c r="P89" s="23">
        <f>IF($A89="","",IF(COUNT(H89:O89)=0,"",ROUND(MAX(SUMPRODUCT(H89:O89,IFERROR(VLOOKUP($C89,参数配置!$A$26:$I$38,{2,3,4,5,6,7,8,9},FALSE),VLOOKUP(参数配置!$A$26,参数配置!$A$26:$I$38,{2,3,4,5,6,7,8,9},FALSE)))/SUMPRODUCT(IFERROR(VLOOKUP($C89,参数配置!$A$26:$I$38,{2,3,4,5,6,7,8,9},FALSE),VLOOKUP(参数配置!$A$26,参数配置!$A$26:$I$38,{2,3,4,5,6,7,8,9},FALSE)),--(H89:O89&lt;&gt;"")),参数配置!$E$13*MAX(H89:O89)),2)))</f>
        <v/>
      </c>
      <c r="Q89" s="23">
        <f>IF($A89="","",IF(P89="","",ROUND(G89*P89,2)))</f>
        <v/>
      </c>
      <c r="R89" s="8">
        <f>IF($A89="","",IF(COUNTIFS(控制措施表!$B:$B,$A89,控制措施表!$C:$C,$F89,控制措施表!$F:$F,"是")=0,IF(COUNTIFS(控制措施表!$B:$B,$A89,控制措施表!$C:$C,$F89)=0,"",MINIFS(控制措施表!$E:$E,控制措施表!$B:$B,$A89,控制措施表!$C:$C,$F89)),MINIFS(控制措施表!$E:$E,控制措施表!$B:$B,$A89,控制措施表!$C:$C,$F89,控制措施表!$F:$F,"是")))</f>
        <v/>
      </c>
      <c r="S89" s="24">
        <f>IF($A89="","",IF(R89="",0,VLOOKUP(R89,参数配置!$D$4:$E$8,2,FALSE)))</f>
        <v/>
      </c>
      <c r="T89" s="23">
        <f>IF($A89="","",IF(Q89="","",ROUND(Q89*(1-S89),2)))</f>
        <v/>
      </c>
      <c r="U89" s="8">
        <f>IF($A89="","",IF(T89="","",IF(T89&gt;=参数配置!$B$14,"极高",IF(T89&gt;=参数配置!$B$15,"高",IF(T89&gt;=参数配置!$B$16,"中",IF(T89&gt;=参数配置!$B$17,"低","极低"))))))</f>
        <v/>
      </c>
      <c r="V89" s="8">
        <f>IF($A89="","",IF(P89="","",ROUND(P89,0)))</f>
        <v/>
      </c>
      <c r="W89" s="8">
        <f>IF($A89="","",IF(Q89="","",ROUND(Q89,0)))</f>
        <v/>
      </c>
      <c r="X89" s="8">
        <f>IF($A89="","",IF(U89="","",IF(U89="极高","每年必审",IF(U89="高","每年审计",IF(U89="中","两年一轮","按需抽查")))))</f>
        <v/>
      </c>
      <c r="Y89" s="24">
        <f>IF($A89="","",IF(OR(Q89="",Q89=0),"",(Q89-T89)/Q89))</f>
        <v/>
      </c>
    </row>
    <row r="90">
      <c r="P90" s="23">
        <f>IF($A90="","",IF(COUNT(H90:O90)=0,"",ROUND(MAX(SUMPRODUCT(H90:O90,IFERROR(VLOOKUP($C90,参数配置!$A$26:$I$38,{2,3,4,5,6,7,8,9},FALSE),VLOOKUP(参数配置!$A$26,参数配置!$A$26:$I$38,{2,3,4,5,6,7,8,9},FALSE)))/SUMPRODUCT(IFERROR(VLOOKUP($C90,参数配置!$A$26:$I$38,{2,3,4,5,6,7,8,9},FALSE),VLOOKUP(参数配置!$A$26,参数配置!$A$26:$I$38,{2,3,4,5,6,7,8,9},FALSE)),--(H90:O90&lt;&gt;"")),参数配置!$E$13*MAX(H90:O90)),2)))</f>
        <v/>
      </c>
      <c r="Q90" s="23">
        <f>IF($A90="","",IF(P90="","",ROUND(G90*P90,2)))</f>
        <v/>
      </c>
      <c r="R90" s="8">
        <f>IF($A90="","",IF(COUNTIFS(控制措施表!$B:$B,$A90,控制措施表!$C:$C,$F90,控制措施表!$F:$F,"是")=0,IF(COUNTIFS(控制措施表!$B:$B,$A90,控制措施表!$C:$C,$F90)=0,"",MINIFS(控制措施表!$E:$E,控制措施表!$B:$B,$A90,控制措施表!$C:$C,$F90)),MINIFS(控制措施表!$E:$E,控制措施表!$B:$B,$A90,控制措施表!$C:$C,$F90,控制措施表!$F:$F,"是")))</f>
        <v/>
      </c>
      <c r="S90" s="24">
        <f>IF($A90="","",IF(R90="",0,VLOOKUP(R90,参数配置!$D$4:$E$8,2,FALSE)))</f>
        <v/>
      </c>
      <c r="T90" s="23">
        <f>IF($A90="","",IF(Q90="","",ROUND(Q90*(1-S90),2)))</f>
        <v/>
      </c>
      <c r="U90" s="8">
        <f>IF($A90="","",IF(T90="","",IF(T90&gt;=参数配置!$B$14,"极高",IF(T90&gt;=参数配置!$B$15,"高",IF(T90&gt;=参数配置!$B$16,"中",IF(T90&gt;=参数配置!$B$17,"低","极低"))))))</f>
        <v/>
      </c>
      <c r="V90" s="8">
        <f>IF($A90="","",IF(P90="","",ROUND(P90,0)))</f>
        <v/>
      </c>
      <c r="W90" s="8">
        <f>IF($A90="","",IF(Q90="","",ROUND(Q90,0)))</f>
        <v/>
      </c>
      <c r="X90" s="8">
        <f>IF($A90="","",IF(U90="","",IF(U90="极高","每年必审",IF(U90="高","每年审计",IF(U90="中","两年一轮","按需抽查")))))</f>
        <v/>
      </c>
      <c r="Y90" s="24">
        <f>IF($A90="","",IF(OR(Q90="",Q90=0),"",(Q90-T90)/Q90))</f>
        <v/>
      </c>
    </row>
    <row r="91">
      <c r="P91" s="23">
        <f>IF($A91="","",IF(COUNT(H91:O91)=0,"",ROUND(MAX(SUMPRODUCT(H91:O91,IFERROR(VLOOKUP($C91,参数配置!$A$26:$I$38,{2,3,4,5,6,7,8,9},FALSE),VLOOKUP(参数配置!$A$26,参数配置!$A$26:$I$38,{2,3,4,5,6,7,8,9},FALSE)))/SUMPRODUCT(IFERROR(VLOOKUP($C91,参数配置!$A$26:$I$38,{2,3,4,5,6,7,8,9},FALSE),VLOOKUP(参数配置!$A$26,参数配置!$A$26:$I$38,{2,3,4,5,6,7,8,9},FALSE)),--(H91:O91&lt;&gt;"")),参数配置!$E$13*MAX(H91:O91)),2)))</f>
        <v/>
      </c>
      <c r="Q91" s="23">
        <f>IF($A91="","",IF(P91="","",ROUND(G91*P91,2)))</f>
        <v/>
      </c>
      <c r="R91" s="8">
        <f>IF($A91="","",IF(COUNTIFS(控制措施表!$B:$B,$A91,控制措施表!$C:$C,$F91,控制措施表!$F:$F,"是")=0,IF(COUNTIFS(控制措施表!$B:$B,$A91,控制措施表!$C:$C,$F91)=0,"",MINIFS(控制措施表!$E:$E,控制措施表!$B:$B,$A91,控制措施表!$C:$C,$F91)),MINIFS(控制措施表!$E:$E,控制措施表!$B:$B,$A91,控制措施表!$C:$C,$F91,控制措施表!$F:$F,"是")))</f>
        <v/>
      </c>
      <c r="S91" s="24">
        <f>IF($A91="","",IF(R91="",0,VLOOKUP(R91,参数配置!$D$4:$E$8,2,FALSE)))</f>
        <v/>
      </c>
      <c r="T91" s="23">
        <f>IF($A91="","",IF(Q91="","",ROUND(Q91*(1-S91),2)))</f>
        <v/>
      </c>
      <c r="U91" s="8">
        <f>IF($A91="","",IF(T91="","",IF(T91&gt;=参数配置!$B$14,"极高",IF(T91&gt;=参数配置!$B$15,"高",IF(T91&gt;=参数配置!$B$16,"中",IF(T91&gt;=参数配置!$B$17,"低","极低"))))))</f>
        <v/>
      </c>
      <c r="V91" s="8">
        <f>IF($A91="","",IF(P91="","",ROUND(P91,0)))</f>
        <v/>
      </c>
      <c r="W91" s="8">
        <f>IF($A91="","",IF(Q91="","",ROUND(Q91,0)))</f>
        <v/>
      </c>
      <c r="X91" s="8">
        <f>IF($A91="","",IF(U91="","",IF(U91="极高","每年必审",IF(U91="高","每年审计",IF(U91="中","两年一轮","按需抽查")))))</f>
        <v/>
      </c>
      <c r="Y91" s="24">
        <f>IF($A91="","",IF(OR(Q91="",Q91=0),"",(Q91-T91)/Q91))</f>
        <v/>
      </c>
    </row>
    <row r="92">
      <c r="P92" s="23">
        <f>IF($A92="","",IF(COUNT(H92:O92)=0,"",ROUND(MAX(SUMPRODUCT(H92:O92,IFERROR(VLOOKUP($C92,参数配置!$A$26:$I$38,{2,3,4,5,6,7,8,9},FALSE),VLOOKUP(参数配置!$A$26,参数配置!$A$26:$I$38,{2,3,4,5,6,7,8,9},FALSE)))/SUMPRODUCT(IFERROR(VLOOKUP($C92,参数配置!$A$26:$I$38,{2,3,4,5,6,7,8,9},FALSE),VLOOKUP(参数配置!$A$26,参数配置!$A$26:$I$38,{2,3,4,5,6,7,8,9},FALSE)),--(H92:O92&lt;&gt;"")),参数配置!$E$13*MAX(H92:O92)),2)))</f>
        <v/>
      </c>
      <c r="Q92" s="23">
        <f>IF($A92="","",IF(P92="","",ROUND(G92*P92,2)))</f>
        <v/>
      </c>
      <c r="R92" s="8">
        <f>IF($A92="","",IF(COUNTIFS(控制措施表!$B:$B,$A92,控制措施表!$C:$C,$F92,控制措施表!$F:$F,"是")=0,IF(COUNTIFS(控制措施表!$B:$B,$A92,控制措施表!$C:$C,$F92)=0,"",MINIFS(控制措施表!$E:$E,控制措施表!$B:$B,$A92,控制措施表!$C:$C,$F92)),MINIFS(控制措施表!$E:$E,控制措施表!$B:$B,$A92,控制措施表!$C:$C,$F92,控制措施表!$F:$F,"是")))</f>
        <v/>
      </c>
      <c r="S92" s="24">
        <f>IF($A92="","",IF(R92="",0,VLOOKUP(R92,参数配置!$D$4:$E$8,2,FALSE)))</f>
        <v/>
      </c>
      <c r="T92" s="23">
        <f>IF($A92="","",IF(Q92="","",ROUND(Q92*(1-S92),2)))</f>
        <v/>
      </c>
      <c r="U92" s="8">
        <f>IF($A92="","",IF(T92="","",IF(T92&gt;=参数配置!$B$14,"极高",IF(T92&gt;=参数配置!$B$15,"高",IF(T92&gt;=参数配置!$B$16,"中",IF(T92&gt;=参数配置!$B$17,"低","极低"))))))</f>
        <v/>
      </c>
      <c r="V92" s="8">
        <f>IF($A92="","",IF(P92="","",ROUND(P92,0)))</f>
        <v/>
      </c>
      <c r="W92" s="8">
        <f>IF($A92="","",IF(Q92="","",ROUND(Q92,0)))</f>
        <v/>
      </c>
      <c r="X92" s="8">
        <f>IF($A92="","",IF(U92="","",IF(U92="极高","每年必审",IF(U92="高","每年审计",IF(U92="中","两年一轮","按需抽查")))))</f>
        <v/>
      </c>
      <c r="Y92" s="24">
        <f>IF($A92="","",IF(OR(Q92="",Q92=0),"",(Q92-T92)/Q92))</f>
        <v/>
      </c>
    </row>
    <row r="93">
      <c r="P93" s="23">
        <f>IF($A93="","",IF(COUNT(H93:O93)=0,"",ROUND(MAX(SUMPRODUCT(H93:O93,IFERROR(VLOOKUP($C93,参数配置!$A$26:$I$38,{2,3,4,5,6,7,8,9},FALSE),VLOOKUP(参数配置!$A$26,参数配置!$A$26:$I$38,{2,3,4,5,6,7,8,9},FALSE)))/SUMPRODUCT(IFERROR(VLOOKUP($C93,参数配置!$A$26:$I$38,{2,3,4,5,6,7,8,9},FALSE),VLOOKUP(参数配置!$A$26,参数配置!$A$26:$I$38,{2,3,4,5,6,7,8,9},FALSE)),--(H93:O93&lt;&gt;"")),参数配置!$E$13*MAX(H93:O93)),2)))</f>
        <v/>
      </c>
      <c r="Q93" s="23">
        <f>IF($A93="","",IF(P93="","",ROUND(G93*P93,2)))</f>
        <v/>
      </c>
      <c r="R93" s="8">
        <f>IF($A93="","",IF(COUNTIFS(控制措施表!$B:$B,$A93,控制措施表!$C:$C,$F93,控制措施表!$F:$F,"是")=0,IF(COUNTIFS(控制措施表!$B:$B,$A93,控制措施表!$C:$C,$F93)=0,"",MINIFS(控制措施表!$E:$E,控制措施表!$B:$B,$A93,控制措施表!$C:$C,$F93)),MINIFS(控制措施表!$E:$E,控制措施表!$B:$B,$A93,控制措施表!$C:$C,$F93,控制措施表!$F:$F,"是")))</f>
        <v/>
      </c>
      <c r="S93" s="24">
        <f>IF($A93="","",IF(R93="",0,VLOOKUP(R93,参数配置!$D$4:$E$8,2,FALSE)))</f>
        <v/>
      </c>
      <c r="T93" s="23">
        <f>IF($A93="","",IF(Q93="","",ROUND(Q93*(1-S93),2)))</f>
        <v/>
      </c>
      <c r="U93" s="8">
        <f>IF($A93="","",IF(T93="","",IF(T93&gt;=参数配置!$B$14,"极高",IF(T93&gt;=参数配置!$B$15,"高",IF(T93&gt;=参数配置!$B$16,"中",IF(T93&gt;=参数配置!$B$17,"低","极低"))))))</f>
        <v/>
      </c>
      <c r="V93" s="8">
        <f>IF($A93="","",IF(P93="","",ROUND(P93,0)))</f>
        <v/>
      </c>
      <c r="W93" s="8">
        <f>IF($A93="","",IF(Q93="","",ROUND(Q93,0)))</f>
        <v/>
      </c>
      <c r="X93" s="8">
        <f>IF($A93="","",IF(U93="","",IF(U93="极高","每年必审",IF(U93="高","每年审计",IF(U93="中","两年一轮","按需抽查")))))</f>
        <v/>
      </c>
      <c r="Y93" s="24">
        <f>IF($A93="","",IF(OR(Q93="",Q93=0),"",(Q93-T93)/Q93))</f>
        <v/>
      </c>
    </row>
    <row r="94">
      <c r="P94" s="23">
        <f>IF($A94="","",IF(COUNT(H94:O94)=0,"",ROUND(MAX(SUMPRODUCT(H94:O94,IFERROR(VLOOKUP($C94,参数配置!$A$26:$I$38,{2,3,4,5,6,7,8,9},FALSE),VLOOKUP(参数配置!$A$26,参数配置!$A$26:$I$38,{2,3,4,5,6,7,8,9},FALSE)))/SUMPRODUCT(IFERROR(VLOOKUP($C94,参数配置!$A$26:$I$38,{2,3,4,5,6,7,8,9},FALSE),VLOOKUP(参数配置!$A$26,参数配置!$A$26:$I$38,{2,3,4,5,6,7,8,9},FALSE)),--(H94:O94&lt;&gt;"")),参数配置!$E$13*MAX(H94:O94)),2)))</f>
        <v/>
      </c>
      <c r="Q94" s="23">
        <f>IF($A94="","",IF(P94="","",ROUND(G94*P94,2)))</f>
        <v/>
      </c>
      <c r="R94" s="8">
        <f>IF($A94="","",IF(COUNTIFS(控制措施表!$B:$B,$A94,控制措施表!$C:$C,$F94,控制措施表!$F:$F,"是")=0,IF(COUNTIFS(控制措施表!$B:$B,$A94,控制措施表!$C:$C,$F94)=0,"",MINIFS(控制措施表!$E:$E,控制措施表!$B:$B,$A94,控制措施表!$C:$C,$F94)),MINIFS(控制措施表!$E:$E,控制措施表!$B:$B,$A94,控制措施表!$C:$C,$F94,控制措施表!$F:$F,"是")))</f>
        <v/>
      </c>
      <c r="S94" s="24">
        <f>IF($A94="","",IF(R94="",0,VLOOKUP(R94,参数配置!$D$4:$E$8,2,FALSE)))</f>
        <v/>
      </c>
      <c r="T94" s="23">
        <f>IF($A94="","",IF(Q94="","",ROUND(Q94*(1-S94),2)))</f>
        <v/>
      </c>
      <c r="U94" s="8">
        <f>IF($A94="","",IF(T94="","",IF(T94&gt;=参数配置!$B$14,"极高",IF(T94&gt;=参数配置!$B$15,"高",IF(T94&gt;=参数配置!$B$16,"中",IF(T94&gt;=参数配置!$B$17,"低","极低"))))))</f>
        <v/>
      </c>
      <c r="V94" s="8">
        <f>IF($A94="","",IF(P94="","",ROUND(P94,0)))</f>
        <v/>
      </c>
      <c r="W94" s="8">
        <f>IF($A94="","",IF(Q94="","",ROUND(Q94,0)))</f>
        <v/>
      </c>
      <c r="X94" s="8">
        <f>IF($A94="","",IF(U94="","",IF(U94="极高","每年必审",IF(U94="高","每年审计",IF(U94="中","两年一轮","按需抽查")))))</f>
        <v/>
      </c>
      <c r="Y94" s="24">
        <f>IF($A94="","",IF(OR(Q94="",Q94=0),"",(Q94-T94)/Q94))</f>
        <v/>
      </c>
    </row>
    <row r="95">
      <c r="P95" s="23">
        <f>IF($A95="","",IF(COUNT(H95:O95)=0,"",ROUND(MAX(SUMPRODUCT(H95:O95,IFERROR(VLOOKUP($C95,参数配置!$A$26:$I$38,{2,3,4,5,6,7,8,9},FALSE),VLOOKUP(参数配置!$A$26,参数配置!$A$26:$I$38,{2,3,4,5,6,7,8,9},FALSE)))/SUMPRODUCT(IFERROR(VLOOKUP($C95,参数配置!$A$26:$I$38,{2,3,4,5,6,7,8,9},FALSE),VLOOKUP(参数配置!$A$26,参数配置!$A$26:$I$38,{2,3,4,5,6,7,8,9},FALSE)),--(H95:O95&lt;&gt;"")),参数配置!$E$13*MAX(H95:O95)),2)))</f>
        <v/>
      </c>
      <c r="Q95" s="23">
        <f>IF($A95="","",IF(P95="","",ROUND(G95*P95,2)))</f>
        <v/>
      </c>
      <c r="R95" s="8">
        <f>IF($A95="","",IF(COUNTIFS(控制措施表!$B:$B,$A95,控制措施表!$C:$C,$F95,控制措施表!$F:$F,"是")=0,IF(COUNTIFS(控制措施表!$B:$B,$A95,控制措施表!$C:$C,$F95)=0,"",MINIFS(控制措施表!$E:$E,控制措施表!$B:$B,$A95,控制措施表!$C:$C,$F95)),MINIFS(控制措施表!$E:$E,控制措施表!$B:$B,$A95,控制措施表!$C:$C,$F95,控制措施表!$F:$F,"是")))</f>
        <v/>
      </c>
      <c r="S95" s="24">
        <f>IF($A95="","",IF(R95="",0,VLOOKUP(R95,参数配置!$D$4:$E$8,2,FALSE)))</f>
        <v/>
      </c>
      <c r="T95" s="23">
        <f>IF($A95="","",IF(Q95="","",ROUND(Q95*(1-S95),2)))</f>
        <v/>
      </c>
      <c r="U95" s="8">
        <f>IF($A95="","",IF(T95="","",IF(T95&gt;=参数配置!$B$14,"极高",IF(T95&gt;=参数配置!$B$15,"高",IF(T95&gt;=参数配置!$B$16,"中",IF(T95&gt;=参数配置!$B$17,"低","极低"))))))</f>
        <v/>
      </c>
      <c r="V95" s="8">
        <f>IF($A95="","",IF(P95="","",ROUND(P95,0)))</f>
        <v/>
      </c>
      <c r="W95" s="8">
        <f>IF($A95="","",IF(Q95="","",ROUND(Q95,0)))</f>
        <v/>
      </c>
      <c r="X95" s="8">
        <f>IF($A95="","",IF(U95="","",IF(U95="极高","每年必审",IF(U95="高","每年审计",IF(U95="中","两年一轮","按需抽查")))))</f>
        <v/>
      </c>
      <c r="Y95" s="24">
        <f>IF($A95="","",IF(OR(Q95="",Q95=0),"",(Q95-T95)/Q95))</f>
        <v/>
      </c>
    </row>
    <row r="96">
      <c r="P96" s="23">
        <f>IF($A96="","",IF(COUNT(H96:O96)=0,"",ROUND(MAX(SUMPRODUCT(H96:O96,IFERROR(VLOOKUP($C96,参数配置!$A$26:$I$38,{2,3,4,5,6,7,8,9},FALSE),VLOOKUP(参数配置!$A$26,参数配置!$A$26:$I$38,{2,3,4,5,6,7,8,9},FALSE)))/SUMPRODUCT(IFERROR(VLOOKUP($C96,参数配置!$A$26:$I$38,{2,3,4,5,6,7,8,9},FALSE),VLOOKUP(参数配置!$A$26,参数配置!$A$26:$I$38,{2,3,4,5,6,7,8,9},FALSE)),--(H96:O96&lt;&gt;"")),参数配置!$E$13*MAX(H96:O96)),2)))</f>
        <v/>
      </c>
      <c r="Q96" s="23">
        <f>IF($A96="","",IF(P96="","",ROUND(G96*P96,2)))</f>
        <v/>
      </c>
      <c r="R96" s="8">
        <f>IF($A96="","",IF(COUNTIFS(控制措施表!$B:$B,$A96,控制措施表!$C:$C,$F96,控制措施表!$F:$F,"是")=0,IF(COUNTIFS(控制措施表!$B:$B,$A96,控制措施表!$C:$C,$F96)=0,"",MINIFS(控制措施表!$E:$E,控制措施表!$B:$B,$A96,控制措施表!$C:$C,$F96)),MINIFS(控制措施表!$E:$E,控制措施表!$B:$B,$A96,控制措施表!$C:$C,$F96,控制措施表!$F:$F,"是")))</f>
        <v/>
      </c>
      <c r="S96" s="24">
        <f>IF($A96="","",IF(R96="",0,VLOOKUP(R96,参数配置!$D$4:$E$8,2,FALSE)))</f>
        <v/>
      </c>
      <c r="T96" s="23">
        <f>IF($A96="","",IF(Q96="","",ROUND(Q96*(1-S96),2)))</f>
        <v/>
      </c>
      <c r="U96" s="8">
        <f>IF($A96="","",IF(T96="","",IF(T96&gt;=参数配置!$B$14,"极高",IF(T96&gt;=参数配置!$B$15,"高",IF(T96&gt;=参数配置!$B$16,"中",IF(T96&gt;=参数配置!$B$17,"低","极低"))))))</f>
        <v/>
      </c>
      <c r="V96" s="8">
        <f>IF($A96="","",IF(P96="","",ROUND(P96,0)))</f>
        <v/>
      </c>
      <c r="W96" s="8">
        <f>IF($A96="","",IF(Q96="","",ROUND(Q96,0)))</f>
        <v/>
      </c>
      <c r="X96" s="8">
        <f>IF($A96="","",IF(U96="","",IF(U96="极高","每年必审",IF(U96="高","每年审计",IF(U96="中","两年一轮","按需抽查")))))</f>
        <v/>
      </c>
      <c r="Y96" s="24">
        <f>IF($A96="","",IF(OR(Q96="",Q96=0),"",(Q96-T96)/Q96))</f>
        <v/>
      </c>
    </row>
    <row r="97">
      <c r="P97" s="23">
        <f>IF($A97="","",IF(COUNT(H97:O97)=0,"",ROUND(MAX(SUMPRODUCT(H97:O97,IFERROR(VLOOKUP($C97,参数配置!$A$26:$I$38,{2,3,4,5,6,7,8,9},FALSE),VLOOKUP(参数配置!$A$26,参数配置!$A$26:$I$38,{2,3,4,5,6,7,8,9},FALSE)))/SUMPRODUCT(IFERROR(VLOOKUP($C97,参数配置!$A$26:$I$38,{2,3,4,5,6,7,8,9},FALSE),VLOOKUP(参数配置!$A$26,参数配置!$A$26:$I$38,{2,3,4,5,6,7,8,9},FALSE)),--(H97:O97&lt;&gt;"")),参数配置!$E$13*MAX(H97:O97)),2)))</f>
        <v/>
      </c>
      <c r="Q97" s="23">
        <f>IF($A97="","",IF(P97="","",ROUND(G97*P97,2)))</f>
        <v/>
      </c>
      <c r="R97" s="8">
        <f>IF($A97="","",IF(COUNTIFS(控制措施表!$B:$B,$A97,控制措施表!$C:$C,$F97,控制措施表!$F:$F,"是")=0,IF(COUNTIFS(控制措施表!$B:$B,$A97,控制措施表!$C:$C,$F97)=0,"",MINIFS(控制措施表!$E:$E,控制措施表!$B:$B,$A97,控制措施表!$C:$C,$F97)),MINIFS(控制措施表!$E:$E,控制措施表!$B:$B,$A97,控制措施表!$C:$C,$F97,控制措施表!$F:$F,"是")))</f>
        <v/>
      </c>
      <c r="S97" s="24">
        <f>IF($A97="","",IF(R97="",0,VLOOKUP(R97,参数配置!$D$4:$E$8,2,FALSE)))</f>
        <v/>
      </c>
      <c r="T97" s="23">
        <f>IF($A97="","",IF(Q97="","",ROUND(Q97*(1-S97),2)))</f>
        <v/>
      </c>
      <c r="U97" s="8">
        <f>IF($A97="","",IF(T97="","",IF(T97&gt;=参数配置!$B$14,"极高",IF(T97&gt;=参数配置!$B$15,"高",IF(T97&gt;=参数配置!$B$16,"中",IF(T97&gt;=参数配置!$B$17,"低","极低"))))))</f>
        <v/>
      </c>
      <c r="V97" s="8">
        <f>IF($A97="","",IF(P97="","",ROUND(P97,0)))</f>
        <v/>
      </c>
      <c r="W97" s="8">
        <f>IF($A97="","",IF(Q97="","",ROUND(Q97,0)))</f>
        <v/>
      </c>
      <c r="X97" s="8">
        <f>IF($A97="","",IF(U97="","",IF(U97="极高","每年必审",IF(U97="高","每年审计",IF(U97="中","两年一轮","按需抽查")))))</f>
        <v/>
      </c>
      <c r="Y97" s="24">
        <f>IF($A97="","",IF(OR(Q97="",Q97=0),"",(Q97-T97)/Q97))</f>
        <v/>
      </c>
    </row>
    <row r="98">
      <c r="P98" s="23">
        <f>IF($A98="","",IF(COUNT(H98:O98)=0,"",ROUND(MAX(SUMPRODUCT(H98:O98,IFERROR(VLOOKUP($C98,参数配置!$A$26:$I$38,{2,3,4,5,6,7,8,9},FALSE),VLOOKUP(参数配置!$A$26,参数配置!$A$26:$I$38,{2,3,4,5,6,7,8,9},FALSE)))/SUMPRODUCT(IFERROR(VLOOKUP($C98,参数配置!$A$26:$I$38,{2,3,4,5,6,7,8,9},FALSE),VLOOKUP(参数配置!$A$26,参数配置!$A$26:$I$38,{2,3,4,5,6,7,8,9},FALSE)),--(H98:O98&lt;&gt;"")),参数配置!$E$13*MAX(H98:O98)),2)))</f>
        <v/>
      </c>
      <c r="Q98" s="23">
        <f>IF($A98="","",IF(P98="","",ROUND(G98*P98,2)))</f>
        <v/>
      </c>
      <c r="R98" s="8">
        <f>IF($A98="","",IF(COUNTIFS(控制措施表!$B:$B,$A98,控制措施表!$C:$C,$F98,控制措施表!$F:$F,"是")=0,IF(COUNTIFS(控制措施表!$B:$B,$A98,控制措施表!$C:$C,$F98)=0,"",MINIFS(控制措施表!$E:$E,控制措施表!$B:$B,$A98,控制措施表!$C:$C,$F98)),MINIFS(控制措施表!$E:$E,控制措施表!$B:$B,$A98,控制措施表!$C:$C,$F98,控制措施表!$F:$F,"是")))</f>
        <v/>
      </c>
      <c r="S98" s="24">
        <f>IF($A98="","",IF(R98="",0,VLOOKUP(R98,参数配置!$D$4:$E$8,2,FALSE)))</f>
        <v/>
      </c>
      <c r="T98" s="23">
        <f>IF($A98="","",IF(Q98="","",ROUND(Q98*(1-S98),2)))</f>
        <v/>
      </c>
      <c r="U98" s="8">
        <f>IF($A98="","",IF(T98="","",IF(T98&gt;=参数配置!$B$14,"极高",IF(T98&gt;=参数配置!$B$15,"高",IF(T98&gt;=参数配置!$B$16,"中",IF(T98&gt;=参数配置!$B$17,"低","极低"))))))</f>
        <v/>
      </c>
      <c r="V98" s="8">
        <f>IF($A98="","",IF(P98="","",ROUND(P98,0)))</f>
        <v/>
      </c>
      <c r="W98" s="8">
        <f>IF($A98="","",IF(Q98="","",ROUND(Q98,0)))</f>
        <v/>
      </c>
      <c r="X98" s="8">
        <f>IF($A98="","",IF(U98="","",IF(U98="极高","每年必审",IF(U98="高","每年审计",IF(U98="中","两年一轮","按需抽查")))))</f>
        <v/>
      </c>
      <c r="Y98" s="24">
        <f>IF($A98="","",IF(OR(Q98="",Q98=0),"",(Q98-T98)/Q98))</f>
        <v/>
      </c>
    </row>
    <row r="99">
      <c r="P99" s="23">
        <f>IF($A99="","",IF(COUNT(H99:O99)=0,"",ROUND(MAX(SUMPRODUCT(H99:O99,IFERROR(VLOOKUP($C99,参数配置!$A$26:$I$38,{2,3,4,5,6,7,8,9},FALSE),VLOOKUP(参数配置!$A$26,参数配置!$A$26:$I$38,{2,3,4,5,6,7,8,9},FALSE)))/SUMPRODUCT(IFERROR(VLOOKUP($C99,参数配置!$A$26:$I$38,{2,3,4,5,6,7,8,9},FALSE),VLOOKUP(参数配置!$A$26,参数配置!$A$26:$I$38,{2,3,4,5,6,7,8,9},FALSE)),--(H99:O99&lt;&gt;"")),参数配置!$E$13*MAX(H99:O99)),2)))</f>
        <v/>
      </c>
      <c r="Q99" s="23">
        <f>IF($A99="","",IF(P99="","",ROUND(G99*P99,2)))</f>
        <v/>
      </c>
      <c r="R99" s="8">
        <f>IF($A99="","",IF(COUNTIFS(控制措施表!$B:$B,$A99,控制措施表!$C:$C,$F99,控制措施表!$F:$F,"是")=0,IF(COUNTIFS(控制措施表!$B:$B,$A99,控制措施表!$C:$C,$F99)=0,"",MINIFS(控制措施表!$E:$E,控制措施表!$B:$B,$A99,控制措施表!$C:$C,$F99)),MINIFS(控制措施表!$E:$E,控制措施表!$B:$B,$A99,控制措施表!$C:$C,$F99,控制措施表!$F:$F,"是")))</f>
        <v/>
      </c>
      <c r="S99" s="24">
        <f>IF($A99="","",IF(R99="",0,VLOOKUP(R99,参数配置!$D$4:$E$8,2,FALSE)))</f>
        <v/>
      </c>
      <c r="T99" s="23">
        <f>IF($A99="","",IF(Q99="","",ROUND(Q99*(1-S99),2)))</f>
        <v/>
      </c>
      <c r="U99" s="8">
        <f>IF($A99="","",IF(T99="","",IF(T99&gt;=参数配置!$B$14,"极高",IF(T99&gt;=参数配置!$B$15,"高",IF(T99&gt;=参数配置!$B$16,"中",IF(T99&gt;=参数配置!$B$17,"低","极低"))))))</f>
        <v/>
      </c>
      <c r="V99" s="8">
        <f>IF($A99="","",IF(P99="","",ROUND(P99,0)))</f>
        <v/>
      </c>
      <c r="W99" s="8">
        <f>IF($A99="","",IF(Q99="","",ROUND(Q99,0)))</f>
        <v/>
      </c>
      <c r="X99" s="8">
        <f>IF($A99="","",IF(U99="","",IF(U99="极高","每年必审",IF(U99="高","每年审计",IF(U99="中","两年一轮","按需抽查")))))</f>
        <v/>
      </c>
      <c r="Y99" s="24">
        <f>IF($A99="","",IF(OR(Q99="",Q99=0),"",(Q99-T99)/Q99))</f>
        <v/>
      </c>
    </row>
    <row r="100">
      <c r="P100" s="23">
        <f>IF($A100="","",IF(COUNT(H100:O100)=0,"",ROUND(MAX(SUMPRODUCT(H100:O100,IFERROR(VLOOKUP($C100,参数配置!$A$26:$I$38,{2,3,4,5,6,7,8,9},FALSE),VLOOKUP(参数配置!$A$26,参数配置!$A$26:$I$38,{2,3,4,5,6,7,8,9},FALSE)))/SUMPRODUCT(IFERROR(VLOOKUP($C100,参数配置!$A$26:$I$38,{2,3,4,5,6,7,8,9},FALSE),VLOOKUP(参数配置!$A$26,参数配置!$A$26:$I$38,{2,3,4,5,6,7,8,9},FALSE)),--(H100:O100&lt;&gt;"")),参数配置!$E$13*MAX(H100:O100)),2)))</f>
        <v/>
      </c>
      <c r="Q100" s="23">
        <f>IF($A100="","",IF(P100="","",ROUND(G100*P100,2)))</f>
        <v/>
      </c>
      <c r="R100" s="8">
        <f>IF($A100="","",IF(COUNTIFS(控制措施表!$B:$B,$A100,控制措施表!$C:$C,$F100,控制措施表!$F:$F,"是")=0,IF(COUNTIFS(控制措施表!$B:$B,$A100,控制措施表!$C:$C,$F100)=0,"",MINIFS(控制措施表!$E:$E,控制措施表!$B:$B,$A100,控制措施表!$C:$C,$F100)),MINIFS(控制措施表!$E:$E,控制措施表!$B:$B,$A100,控制措施表!$C:$C,$F100,控制措施表!$F:$F,"是")))</f>
        <v/>
      </c>
      <c r="S100" s="24">
        <f>IF($A100="","",IF(R100="",0,VLOOKUP(R100,参数配置!$D$4:$E$8,2,FALSE)))</f>
        <v/>
      </c>
      <c r="T100" s="23">
        <f>IF($A100="","",IF(Q100="","",ROUND(Q100*(1-S100),2)))</f>
        <v/>
      </c>
      <c r="U100" s="8">
        <f>IF($A100="","",IF(T100="","",IF(T100&gt;=参数配置!$B$14,"极高",IF(T100&gt;=参数配置!$B$15,"高",IF(T100&gt;=参数配置!$B$16,"中",IF(T100&gt;=参数配置!$B$17,"低","极低"))))))</f>
        <v/>
      </c>
      <c r="V100" s="8">
        <f>IF($A100="","",IF(P100="","",ROUND(P100,0)))</f>
        <v/>
      </c>
      <c r="W100" s="8">
        <f>IF($A100="","",IF(Q100="","",ROUND(Q100,0)))</f>
        <v/>
      </c>
      <c r="X100" s="8">
        <f>IF($A100="","",IF(U100="","",IF(U100="极高","每年必审",IF(U100="高","每年审计",IF(U100="中","两年一轮","按需抽查")))))</f>
        <v/>
      </c>
      <c r="Y100" s="24">
        <f>IF($A100="","",IF(OR(Q100="",Q100=0),"",(Q100-T100)/Q100))</f>
        <v/>
      </c>
    </row>
    <row r="101">
      <c r="P101" s="23">
        <f>IF($A101="","",IF(COUNT(H101:O101)=0,"",ROUND(MAX(SUMPRODUCT(H101:O101,IFERROR(VLOOKUP($C101,参数配置!$A$26:$I$38,{2,3,4,5,6,7,8,9},FALSE),VLOOKUP(参数配置!$A$26,参数配置!$A$26:$I$38,{2,3,4,5,6,7,8,9},FALSE)))/SUMPRODUCT(IFERROR(VLOOKUP($C101,参数配置!$A$26:$I$38,{2,3,4,5,6,7,8,9},FALSE),VLOOKUP(参数配置!$A$26,参数配置!$A$26:$I$38,{2,3,4,5,6,7,8,9},FALSE)),--(H101:O101&lt;&gt;"")),参数配置!$E$13*MAX(H101:O101)),2)))</f>
        <v/>
      </c>
      <c r="Q101" s="23">
        <f>IF($A101="","",IF(P101="","",ROUND(G101*P101,2)))</f>
        <v/>
      </c>
      <c r="R101" s="8">
        <f>IF($A101="","",IF(COUNTIFS(控制措施表!$B:$B,$A101,控制措施表!$C:$C,$F101,控制措施表!$F:$F,"是")=0,IF(COUNTIFS(控制措施表!$B:$B,$A101,控制措施表!$C:$C,$F101)=0,"",MINIFS(控制措施表!$E:$E,控制措施表!$B:$B,$A101,控制措施表!$C:$C,$F101)),MINIFS(控制措施表!$E:$E,控制措施表!$B:$B,$A101,控制措施表!$C:$C,$F101,控制措施表!$F:$F,"是")))</f>
        <v/>
      </c>
      <c r="S101" s="24">
        <f>IF($A101="","",IF(R101="",0,VLOOKUP(R101,参数配置!$D$4:$E$8,2,FALSE)))</f>
        <v/>
      </c>
      <c r="T101" s="23">
        <f>IF($A101="","",IF(Q101="","",ROUND(Q101*(1-S101),2)))</f>
        <v/>
      </c>
      <c r="U101" s="8">
        <f>IF($A101="","",IF(T101="","",IF(T101&gt;=参数配置!$B$14,"极高",IF(T101&gt;=参数配置!$B$15,"高",IF(T101&gt;=参数配置!$B$16,"中",IF(T101&gt;=参数配置!$B$17,"低","极低"))))))</f>
        <v/>
      </c>
      <c r="V101" s="8">
        <f>IF($A101="","",IF(P101="","",ROUND(P101,0)))</f>
        <v/>
      </c>
      <c r="W101" s="8">
        <f>IF($A101="","",IF(Q101="","",ROUND(Q101,0)))</f>
        <v/>
      </c>
      <c r="X101" s="8">
        <f>IF($A101="","",IF(U101="","",IF(U101="极高","每年必审",IF(U101="高","每年审计",IF(U101="中","两年一轮","按需抽查")))))</f>
        <v/>
      </c>
      <c r="Y101" s="24">
        <f>IF($A101="","",IF(OR(Q101="",Q101=0),"",(Q101-T101)/Q101))</f>
        <v/>
      </c>
    </row>
    <row r="102">
      <c r="P102" s="23">
        <f>IF($A102="","",IF(COUNT(H102:O102)=0,"",ROUND(MAX(SUMPRODUCT(H102:O102,IFERROR(VLOOKUP($C102,参数配置!$A$26:$I$38,{2,3,4,5,6,7,8,9},FALSE),VLOOKUP(参数配置!$A$26,参数配置!$A$26:$I$38,{2,3,4,5,6,7,8,9},FALSE)))/SUMPRODUCT(IFERROR(VLOOKUP($C102,参数配置!$A$26:$I$38,{2,3,4,5,6,7,8,9},FALSE),VLOOKUP(参数配置!$A$26,参数配置!$A$26:$I$38,{2,3,4,5,6,7,8,9},FALSE)),--(H102:O102&lt;&gt;"")),参数配置!$E$13*MAX(H102:O102)),2)))</f>
        <v/>
      </c>
      <c r="Q102" s="23">
        <f>IF($A102="","",IF(P102="","",ROUND(G102*P102,2)))</f>
        <v/>
      </c>
      <c r="R102" s="8">
        <f>IF($A102="","",IF(COUNTIFS(控制措施表!$B:$B,$A102,控制措施表!$C:$C,$F102,控制措施表!$F:$F,"是")=0,IF(COUNTIFS(控制措施表!$B:$B,$A102,控制措施表!$C:$C,$F102)=0,"",MINIFS(控制措施表!$E:$E,控制措施表!$B:$B,$A102,控制措施表!$C:$C,$F102)),MINIFS(控制措施表!$E:$E,控制措施表!$B:$B,$A102,控制措施表!$C:$C,$F102,控制措施表!$F:$F,"是")))</f>
        <v/>
      </c>
      <c r="S102" s="24">
        <f>IF($A102="","",IF(R102="",0,VLOOKUP(R102,参数配置!$D$4:$E$8,2,FALSE)))</f>
        <v/>
      </c>
      <c r="T102" s="23">
        <f>IF($A102="","",IF(Q102="","",ROUND(Q102*(1-S102),2)))</f>
        <v/>
      </c>
      <c r="U102" s="8">
        <f>IF($A102="","",IF(T102="","",IF(T102&gt;=参数配置!$B$14,"极高",IF(T102&gt;=参数配置!$B$15,"高",IF(T102&gt;=参数配置!$B$16,"中",IF(T102&gt;=参数配置!$B$17,"低","极低"))))))</f>
        <v/>
      </c>
      <c r="V102" s="8">
        <f>IF($A102="","",IF(P102="","",ROUND(P102,0)))</f>
        <v/>
      </c>
      <c r="W102" s="8">
        <f>IF($A102="","",IF(Q102="","",ROUND(Q102,0)))</f>
        <v/>
      </c>
      <c r="X102" s="8">
        <f>IF($A102="","",IF(U102="","",IF(U102="极高","每年必审",IF(U102="高","每年审计",IF(U102="中","两年一轮","按需抽查")))))</f>
        <v/>
      </c>
      <c r="Y102" s="24">
        <f>IF($A102="","",IF(OR(Q102="",Q102=0),"",(Q102-T102)/Q102))</f>
        <v/>
      </c>
    </row>
    <row r="103">
      <c r="P103" s="23">
        <f>IF($A103="","",IF(COUNT(H103:O103)=0,"",ROUND(MAX(SUMPRODUCT(H103:O103,IFERROR(VLOOKUP($C103,参数配置!$A$26:$I$38,{2,3,4,5,6,7,8,9},FALSE),VLOOKUP(参数配置!$A$26,参数配置!$A$26:$I$38,{2,3,4,5,6,7,8,9},FALSE)))/SUMPRODUCT(IFERROR(VLOOKUP($C103,参数配置!$A$26:$I$38,{2,3,4,5,6,7,8,9},FALSE),VLOOKUP(参数配置!$A$26,参数配置!$A$26:$I$38,{2,3,4,5,6,7,8,9},FALSE)),--(H103:O103&lt;&gt;"")),参数配置!$E$13*MAX(H103:O103)),2)))</f>
        <v/>
      </c>
      <c r="Q103" s="23">
        <f>IF($A103="","",IF(P103="","",ROUND(G103*P103,2)))</f>
        <v/>
      </c>
      <c r="R103" s="8">
        <f>IF($A103="","",IF(COUNTIFS(控制措施表!$B:$B,$A103,控制措施表!$C:$C,$F103,控制措施表!$F:$F,"是")=0,IF(COUNTIFS(控制措施表!$B:$B,$A103,控制措施表!$C:$C,$F103)=0,"",MINIFS(控制措施表!$E:$E,控制措施表!$B:$B,$A103,控制措施表!$C:$C,$F103)),MINIFS(控制措施表!$E:$E,控制措施表!$B:$B,$A103,控制措施表!$C:$C,$F103,控制措施表!$F:$F,"是")))</f>
        <v/>
      </c>
      <c r="S103" s="24">
        <f>IF($A103="","",IF(R103="",0,VLOOKUP(R103,参数配置!$D$4:$E$8,2,FALSE)))</f>
        <v/>
      </c>
      <c r="T103" s="23">
        <f>IF($A103="","",IF(Q103="","",ROUND(Q103*(1-S103),2)))</f>
        <v/>
      </c>
      <c r="U103" s="8">
        <f>IF($A103="","",IF(T103="","",IF(T103&gt;=参数配置!$B$14,"极高",IF(T103&gt;=参数配置!$B$15,"高",IF(T103&gt;=参数配置!$B$16,"中",IF(T103&gt;=参数配置!$B$17,"低","极低"))))))</f>
        <v/>
      </c>
      <c r="V103" s="8">
        <f>IF($A103="","",IF(P103="","",ROUND(P103,0)))</f>
        <v/>
      </c>
      <c r="W103" s="8">
        <f>IF($A103="","",IF(Q103="","",ROUND(Q103,0)))</f>
        <v/>
      </c>
      <c r="X103" s="8">
        <f>IF($A103="","",IF(U103="","",IF(U103="极高","每年必审",IF(U103="高","每年审计",IF(U103="中","两年一轮","按需抽查")))))</f>
        <v/>
      </c>
      <c r="Y103" s="24">
        <f>IF($A103="","",IF(OR(Q103="",Q103=0),"",(Q103-T103)/Q103))</f>
        <v/>
      </c>
    </row>
    <row r="104">
      <c r="P104" s="23">
        <f>IF($A104="","",IF(COUNT(H104:O104)=0,"",ROUND(MAX(SUMPRODUCT(H104:O104,IFERROR(VLOOKUP($C104,参数配置!$A$26:$I$38,{2,3,4,5,6,7,8,9},FALSE),VLOOKUP(参数配置!$A$26,参数配置!$A$26:$I$38,{2,3,4,5,6,7,8,9},FALSE)))/SUMPRODUCT(IFERROR(VLOOKUP($C104,参数配置!$A$26:$I$38,{2,3,4,5,6,7,8,9},FALSE),VLOOKUP(参数配置!$A$26,参数配置!$A$26:$I$38,{2,3,4,5,6,7,8,9},FALSE)),--(H104:O104&lt;&gt;"")),参数配置!$E$13*MAX(H104:O104)),2)))</f>
        <v/>
      </c>
      <c r="Q104" s="23">
        <f>IF($A104="","",IF(P104="","",ROUND(G104*P104,2)))</f>
        <v/>
      </c>
      <c r="R104" s="8">
        <f>IF($A104="","",IF(COUNTIFS(控制措施表!$B:$B,$A104,控制措施表!$C:$C,$F104,控制措施表!$F:$F,"是")=0,IF(COUNTIFS(控制措施表!$B:$B,$A104,控制措施表!$C:$C,$F104)=0,"",MINIFS(控制措施表!$E:$E,控制措施表!$B:$B,$A104,控制措施表!$C:$C,$F104)),MINIFS(控制措施表!$E:$E,控制措施表!$B:$B,$A104,控制措施表!$C:$C,$F104,控制措施表!$F:$F,"是")))</f>
        <v/>
      </c>
      <c r="S104" s="24">
        <f>IF($A104="","",IF(R104="",0,VLOOKUP(R104,参数配置!$D$4:$E$8,2,FALSE)))</f>
        <v/>
      </c>
      <c r="T104" s="23">
        <f>IF($A104="","",IF(Q104="","",ROUND(Q104*(1-S104),2)))</f>
        <v/>
      </c>
      <c r="U104" s="8">
        <f>IF($A104="","",IF(T104="","",IF(T104&gt;=参数配置!$B$14,"极高",IF(T104&gt;=参数配置!$B$15,"高",IF(T104&gt;=参数配置!$B$16,"中",IF(T104&gt;=参数配置!$B$17,"低","极低"))))))</f>
        <v/>
      </c>
      <c r="V104" s="8">
        <f>IF($A104="","",IF(P104="","",ROUND(P104,0)))</f>
        <v/>
      </c>
      <c r="W104" s="8">
        <f>IF($A104="","",IF(Q104="","",ROUND(Q104,0)))</f>
        <v/>
      </c>
      <c r="X104" s="8">
        <f>IF($A104="","",IF(U104="","",IF(U104="极高","每年必审",IF(U104="高","每年审计",IF(U104="中","两年一轮","按需抽查")))))</f>
        <v/>
      </c>
      <c r="Y104" s="24">
        <f>IF($A104="","",IF(OR(Q104="",Q104=0),"",(Q104-T104)/Q104))</f>
        <v/>
      </c>
    </row>
    <row r="105">
      <c r="P105" s="23">
        <f>IF($A105="","",IF(COUNT(H105:O105)=0,"",ROUND(MAX(SUMPRODUCT(H105:O105,IFERROR(VLOOKUP($C105,参数配置!$A$26:$I$38,{2,3,4,5,6,7,8,9},FALSE),VLOOKUP(参数配置!$A$26,参数配置!$A$26:$I$38,{2,3,4,5,6,7,8,9},FALSE)))/SUMPRODUCT(IFERROR(VLOOKUP($C105,参数配置!$A$26:$I$38,{2,3,4,5,6,7,8,9},FALSE),VLOOKUP(参数配置!$A$26,参数配置!$A$26:$I$38,{2,3,4,5,6,7,8,9},FALSE)),--(H105:O105&lt;&gt;"")),参数配置!$E$13*MAX(H105:O105)),2)))</f>
        <v/>
      </c>
      <c r="Q105" s="23">
        <f>IF($A105="","",IF(P105="","",ROUND(G105*P105,2)))</f>
        <v/>
      </c>
      <c r="R105" s="8">
        <f>IF($A105="","",IF(COUNTIFS(控制措施表!$B:$B,$A105,控制措施表!$C:$C,$F105,控制措施表!$F:$F,"是")=0,IF(COUNTIFS(控制措施表!$B:$B,$A105,控制措施表!$C:$C,$F105)=0,"",MINIFS(控制措施表!$E:$E,控制措施表!$B:$B,$A105,控制措施表!$C:$C,$F105)),MINIFS(控制措施表!$E:$E,控制措施表!$B:$B,$A105,控制措施表!$C:$C,$F105,控制措施表!$F:$F,"是")))</f>
        <v/>
      </c>
      <c r="S105" s="24">
        <f>IF($A105="","",IF(R105="",0,VLOOKUP(R105,参数配置!$D$4:$E$8,2,FALSE)))</f>
        <v/>
      </c>
      <c r="T105" s="23">
        <f>IF($A105="","",IF(Q105="","",ROUND(Q105*(1-S105),2)))</f>
        <v/>
      </c>
      <c r="U105" s="8">
        <f>IF($A105="","",IF(T105="","",IF(T105&gt;=参数配置!$B$14,"极高",IF(T105&gt;=参数配置!$B$15,"高",IF(T105&gt;=参数配置!$B$16,"中",IF(T105&gt;=参数配置!$B$17,"低","极低"))))))</f>
        <v/>
      </c>
      <c r="V105" s="8">
        <f>IF($A105="","",IF(P105="","",ROUND(P105,0)))</f>
        <v/>
      </c>
      <c r="W105" s="8">
        <f>IF($A105="","",IF(Q105="","",ROUND(Q105,0)))</f>
        <v/>
      </c>
      <c r="X105" s="8">
        <f>IF($A105="","",IF(U105="","",IF(U105="极高","每年必审",IF(U105="高","每年审计",IF(U105="中","两年一轮","按需抽查")))))</f>
        <v/>
      </c>
      <c r="Y105" s="24">
        <f>IF($A105="","",IF(OR(Q105="",Q105=0),"",(Q105-T105)/Q105))</f>
        <v/>
      </c>
    </row>
    <row r="106">
      <c r="P106" s="23">
        <f>IF($A106="","",IF(COUNT(H106:O106)=0,"",ROUND(MAX(SUMPRODUCT(H106:O106,IFERROR(VLOOKUP($C106,参数配置!$A$26:$I$38,{2,3,4,5,6,7,8,9},FALSE),VLOOKUP(参数配置!$A$26,参数配置!$A$26:$I$38,{2,3,4,5,6,7,8,9},FALSE)))/SUMPRODUCT(IFERROR(VLOOKUP($C106,参数配置!$A$26:$I$38,{2,3,4,5,6,7,8,9},FALSE),VLOOKUP(参数配置!$A$26,参数配置!$A$26:$I$38,{2,3,4,5,6,7,8,9},FALSE)),--(H106:O106&lt;&gt;"")),参数配置!$E$13*MAX(H106:O106)),2)))</f>
        <v/>
      </c>
      <c r="Q106" s="23">
        <f>IF($A106="","",IF(P106="","",ROUND(G106*P106,2)))</f>
        <v/>
      </c>
      <c r="R106" s="8">
        <f>IF($A106="","",IF(COUNTIFS(控制措施表!$B:$B,$A106,控制措施表!$C:$C,$F106,控制措施表!$F:$F,"是")=0,IF(COUNTIFS(控制措施表!$B:$B,$A106,控制措施表!$C:$C,$F106)=0,"",MINIFS(控制措施表!$E:$E,控制措施表!$B:$B,$A106,控制措施表!$C:$C,$F106)),MINIFS(控制措施表!$E:$E,控制措施表!$B:$B,$A106,控制措施表!$C:$C,$F106,控制措施表!$F:$F,"是")))</f>
        <v/>
      </c>
      <c r="S106" s="24">
        <f>IF($A106="","",IF(R106="",0,VLOOKUP(R106,参数配置!$D$4:$E$8,2,FALSE)))</f>
        <v/>
      </c>
      <c r="T106" s="23">
        <f>IF($A106="","",IF(Q106="","",ROUND(Q106*(1-S106),2)))</f>
        <v/>
      </c>
      <c r="U106" s="8">
        <f>IF($A106="","",IF(T106="","",IF(T106&gt;=参数配置!$B$14,"极高",IF(T106&gt;=参数配置!$B$15,"高",IF(T106&gt;=参数配置!$B$16,"中",IF(T106&gt;=参数配置!$B$17,"低","极低"))))))</f>
        <v/>
      </c>
      <c r="V106" s="8">
        <f>IF($A106="","",IF(P106="","",ROUND(P106,0)))</f>
        <v/>
      </c>
      <c r="W106" s="8">
        <f>IF($A106="","",IF(Q106="","",ROUND(Q106,0)))</f>
        <v/>
      </c>
      <c r="X106" s="8">
        <f>IF($A106="","",IF(U106="","",IF(U106="极高","每年必审",IF(U106="高","每年审计",IF(U106="中","两年一轮","按需抽查")))))</f>
        <v/>
      </c>
      <c r="Y106" s="24">
        <f>IF($A106="","",IF(OR(Q106="",Q106=0),"",(Q106-T106)/Q106))</f>
        <v/>
      </c>
    </row>
    <row r="107">
      <c r="P107" s="23">
        <f>IF($A107="","",IF(COUNT(H107:O107)=0,"",ROUND(MAX(SUMPRODUCT(H107:O107,IFERROR(VLOOKUP($C107,参数配置!$A$26:$I$38,{2,3,4,5,6,7,8,9},FALSE),VLOOKUP(参数配置!$A$26,参数配置!$A$26:$I$38,{2,3,4,5,6,7,8,9},FALSE)))/SUMPRODUCT(IFERROR(VLOOKUP($C107,参数配置!$A$26:$I$38,{2,3,4,5,6,7,8,9},FALSE),VLOOKUP(参数配置!$A$26,参数配置!$A$26:$I$38,{2,3,4,5,6,7,8,9},FALSE)),--(H107:O107&lt;&gt;"")),参数配置!$E$13*MAX(H107:O107)),2)))</f>
        <v/>
      </c>
      <c r="Q107" s="23">
        <f>IF($A107="","",IF(P107="","",ROUND(G107*P107,2)))</f>
        <v/>
      </c>
      <c r="R107" s="8">
        <f>IF($A107="","",IF(COUNTIFS(控制措施表!$B:$B,$A107,控制措施表!$C:$C,$F107,控制措施表!$F:$F,"是")=0,IF(COUNTIFS(控制措施表!$B:$B,$A107,控制措施表!$C:$C,$F107)=0,"",MINIFS(控制措施表!$E:$E,控制措施表!$B:$B,$A107,控制措施表!$C:$C,$F107)),MINIFS(控制措施表!$E:$E,控制措施表!$B:$B,$A107,控制措施表!$C:$C,$F107,控制措施表!$F:$F,"是")))</f>
        <v/>
      </c>
      <c r="S107" s="24">
        <f>IF($A107="","",IF(R107="",0,VLOOKUP(R107,参数配置!$D$4:$E$8,2,FALSE)))</f>
        <v/>
      </c>
      <c r="T107" s="23">
        <f>IF($A107="","",IF(Q107="","",ROUND(Q107*(1-S107),2)))</f>
        <v/>
      </c>
      <c r="U107" s="8">
        <f>IF($A107="","",IF(T107="","",IF(T107&gt;=参数配置!$B$14,"极高",IF(T107&gt;=参数配置!$B$15,"高",IF(T107&gt;=参数配置!$B$16,"中",IF(T107&gt;=参数配置!$B$17,"低","极低"))))))</f>
        <v/>
      </c>
      <c r="V107" s="8">
        <f>IF($A107="","",IF(P107="","",ROUND(P107,0)))</f>
        <v/>
      </c>
      <c r="W107" s="8">
        <f>IF($A107="","",IF(Q107="","",ROUND(Q107,0)))</f>
        <v/>
      </c>
      <c r="X107" s="8">
        <f>IF($A107="","",IF(U107="","",IF(U107="极高","每年必审",IF(U107="高","每年审计",IF(U107="中","两年一轮","按需抽查")))))</f>
        <v/>
      </c>
      <c r="Y107" s="24">
        <f>IF($A107="","",IF(OR(Q107="",Q107=0),"",(Q107-T107)/Q107))</f>
        <v/>
      </c>
    </row>
    <row r="108">
      <c r="P108" s="23">
        <f>IF($A108="","",IF(COUNT(H108:O108)=0,"",ROUND(MAX(SUMPRODUCT(H108:O108,IFERROR(VLOOKUP($C108,参数配置!$A$26:$I$38,{2,3,4,5,6,7,8,9},FALSE),VLOOKUP(参数配置!$A$26,参数配置!$A$26:$I$38,{2,3,4,5,6,7,8,9},FALSE)))/SUMPRODUCT(IFERROR(VLOOKUP($C108,参数配置!$A$26:$I$38,{2,3,4,5,6,7,8,9},FALSE),VLOOKUP(参数配置!$A$26,参数配置!$A$26:$I$38,{2,3,4,5,6,7,8,9},FALSE)),--(H108:O108&lt;&gt;"")),参数配置!$E$13*MAX(H108:O108)),2)))</f>
        <v/>
      </c>
      <c r="Q108" s="23">
        <f>IF($A108="","",IF(P108="","",ROUND(G108*P108,2)))</f>
        <v/>
      </c>
      <c r="R108" s="8">
        <f>IF($A108="","",IF(COUNTIFS(控制措施表!$B:$B,$A108,控制措施表!$C:$C,$F108,控制措施表!$F:$F,"是")=0,IF(COUNTIFS(控制措施表!$B:$B,$A108,控制措施表!$C:$C,$F108)=0,"",MINIFS(控制措施表!$E:$E,控制措施表!$B:$B,$A108,控制措施表!$C:$C,$F108)),MINIFS(控制措施表!$E:$E,控制措施表!$B:$B,$A108,控制措施表!$C:$C,$F108,控制措施表!$F:$F,"是")))</f>
        <v/>
      </c>
      <c r="S108" s="24">
        <f>IF($A108="","",IF(R108="",0,VLOOKUP(R108,参数配置!$D$4:$E$8,2,FALSE)))</f>
        <v/>
      </c>
      <c r="T108" s="23">
        <f>IF($A108="","",IF(Q108="","",ROUND(Q108*(1-S108),2)))</f>
        <v/>
      </c>
      <c r="U108" s="8">
        <f>IF($A108="","",IF(T108="","",IF(T108&gt;=参数配置!$B$14,"极高",IF(T108&gt;=参数配置!$B$15,"高",IF(T108&gt;=参数配置!$B$16,"中",IF(T108&gt;=参数配置!$B$17,"低","极低"))))))</f>
        <v/>
      </c>
      <c r="V108" s="8">
        <f>IF($A108="","",IF(P108="","",ROUND(P108,0)))</f>
        <v/>
      </c>
      <c r="W108" s="8">
        <f>IF($A108="","",IF(Q108="","",ROUND(Q108,0)))</f>
        <v/>
      </c>
      <c r="X108" s="8">
        <f>IF($A108="","",IF(U108="","",IF(U108="极高","每年必审",IF(U108="高","每年审计",IF(U108="中","两年一轮","按需抽查")))))</f>
        <v/>
      </c>
      <c r="Y108" s="24">
        <f>IF($A108="","",IF(OR(Q108="",Q108=0),"",(Q108-T108)/Q108))</f>
        <v/>
      </c>
    </row>
    <row r="109">
      <c r="P109" s="23">
        <f>IF($A109="","",IF(COUNT(H109:O109)=0,"",ROUND(MAX(SUMPRODUCT(H109:O109,IFERROR(VLOOKUP($C109,参数配置!$A$26:$I$38,{2,3,4,5,6,7,8,9},FALSE),VLOOKUP(参数配置!$A$26,参数配置!$A$26:$I$38,{2,3,4,5,6,7,8,9},FALSE)))/SUMPRODUCT(IFERROR(VLOOKUP($C109,参数配置!$A$26:$I$38,{2,3,4,5,6,7,8,9},FALSE),VLOOKUP(参数配置!$A$26,参数配置!$A$26:$I$38,{2,3,4,5,6,7,8,9},FALSE)),--(H109:O109&lt;&gt;"")),参数配置!$E$13*MAX(H109:O109)),2)))</f>
        <v/>
      </c>
      <c r="Q109" s="23">
        <f>IF($A109="","",IF(P109="","",ROUND(G109*P109,2)))</f>
        <v/>
      </c>
      <c r="R109" s="8">
        <f>IF($A109="","",IF(COUNTIFS(控制措施表!$B:$B,$A109,控制措施表!$C:$C,$F109,控制措施表!$F:$F,"是")=0,IF(COUNTIFS(控制措施表!$B:$B,$A109,控制措施表!$C:$C,$F109)=0,"",MINIFS(控制措施表!$E:$E,控制措施表!$B:$B,$A109,控制措施表!$C:$C,$F109)),MINIFS(控制措施表!$E:$E,控制措施表!$B:$B,$A109,控制措施表!$C:$C,$F109,控制措施表!$F:$F,"是")))</f>
        <v/>
      </c>
      <c r="S109" s="24">
        <f>IF($A109="","",IF(R109="",0,VLOOKUP(R109,参数配置!$D$4:$E$8,2,FALSE)))</f>
        <v/>
      </c>
      <c r="T109" s="23">
        <f>IF($A109="","",IF(Q109="","",ROUND(Q109*(1-S109),2)))</f>
        <v/>
      </c>
      <c r="U109" s="8">
        <f>IF($A109="","",IF(T109="","",IF(T109&gt;=参数配置!$B$14,"极高",IF(T109&gt;=参数配置!$B$15,"高",IF(T109&gt;=参数配置!$B$16,"中",IF(T109&gt;=参数配置!$B$17,"低","极低"))))))</f>
        <v/>
      </c>
      <c r="V109" s="8">
        <f>IF($A109="","",IF(P109="","",ROUND(P109,0)))</f>
        <v/>
      </c>
      <c r="W109" s="8">
        <f>IF($A109="","",IF(Q109="","",ROUND(Q109,0)))</f>
        <v/>
      </c>
      <c r="X109" s="8">
        <f>IF($A109="","",IF(U109="","",IF(U109="极高","每年必审",IF(U109="高","每年审计",IF(U109="中","两年一轮","按需抽查")))))</f>
        <v/>
      </c>
      <c r="Y109" s="24">
        <f>IF($A109="","",IF(OR(Q109="",Q109=0),"",(Q109-T109)/Q109))</f>
        <v/>
      </c>
    </row>
    <row r="110">
      <c r="P110" s="23">
        <f>IF($A110="","",IF(COUNT(H110:O110)=0,"",ROUND(MAX(SUMPRODUCT(H110:O110,IFERROR(VLOOKUP($C110,参数配置!$A$26:$I$38,{2,3,4,5,6,7,8,9},FALSE),VLOOKUP(参数配置!$A$26,参数配置!$A$26:$I$38,{2,3,4,5,6,7,8,9},FALSE)))/SUMPRODUCT(IFERROR(VLOOKUP($C110,参数配置!$A$26:$I$38,{2,3,4,5,6,7,8,9},FALSE),VLOOKUP(参数配置!$A$26,参数配置!$A$26:$I$38,{2,3,4,5,6,7,8,9},FALSE)),--(H110:O110&lt;&gt;"")),参数配置!$E$13*MAX(H110:O110)),2)))</f>
        <v/>
      </c>
      <c r="Q110" s="23">
        <f>IF($A110="","",IF(P110="","",ROUND(G110*P110,2)))</f>
        <v/>
      </c>
      <c r="R110" s="8">
        <f>IF($A110="","",IF(COUNTIFS(控制措施表!$B:$B,$A110,控制措施表!$C:$C,$F110,控制措施表!$F:$F,"是")=0,IF(COUNTIFS(控制措施表!$B:$B,$A110,控制措施表!$C:$C,$F110)=0,"",MINIFS(控制措施表!$E:$E,控制措施表!$B:$B,$A110,控制措施表!$C:$C,$F110)),MINIFS(控制措施表!$E:$E,控制措施表!$B:$B,$A110,控制措施表!$C:$C,$F110,控制措施表!$F:$F,"是")))</f>
        <v/>
      </c>
      <c r="S110" s="24">
        <f>IF($A110="","",IF(R110="",0,VLOOKUP(R110,参数配置!$D$4:$E$8,2,FALSE)))</f>
        <v/>
      </c>
      <c r="T110" s="23">
        <f>IF($A110="","",IF(Q110="","",ROUND(Q110*(1-S110),2)))</f>
        <v/>
      </c>
      <c r="U110" s="8">
        <f>IF($A110="","",IF(T110="","",IF(T110&gt;=参数配置!$B$14,"极高",IF(T110&gt;=参数配置!$B$15,"高",IF(T110&gt;=参数配置!$B$16,"中",IF(T110&gt;=参数配置!$B$17,"低","极低"))))))</f>
        <v/>
      </c>
      <c r="V110" s="8">
        <f>IF($A110="","",IF(P110="","",ROUND(P110,0)))</f>
        <v/>
      </c>
      <c r="W110" s="8">
        <f>IF($A110="","",IF(Q110="","",ROUND(Q110,0)))</f>
        <v/>
      </c>
      <c r="X110" s="8">
        <f>IF($A110="","",IF(U110="","",IF(U110="极高","每年必审",IF(U110="高","每年审计",IF(U110="中","两年一轮","按需抽查")))))</f>
        <v/>
      </c>
      <c r="Y110" s="24">
        <f>IF($A110="","",IF(OR(Q110="",Q110=0),"",(Q110-T110)/Q110))</f>
        <v/>
      </c>
    </row>
    <row r="111">
      <c r="P111" s="23">
        <f>IF($A111="","",IF(COUNT(H111:O111)=0,"",ROUND(MAX(SUMPRODUCT(H111:O111,IFERROR(VLOOKUP($C111,参数配置!$A$26:$I$38,{2,3,4,5,6,7,8,9},FALSE),VLOOKUP(参数配置!$A$26,参数配置!$A$26:$I$38,{2,3,4,5,6,7,8,9},FALSE)))/SUMPRODUCT(IFERROR(VLOOKUP($C111,参数配置!$A$26:$I$38,{2,3,4,5,6,7,8,9},FALSE),VLOOKUP(参数配置!$A$26,参数配置!$A$26:$I$38,{2,3,4,5,6,7,8,9},FALSE)),--(H111:O111&lt;&gt;"")),参数配置!$E$13*MAX(H111:O111)),2)))</f>
        <v/>
      </c>
      <c r="Q111" s="23">
        <f>IF($A111="","",IF(P111="","",ROUND(G111*P111,2)))</f>
        <v/>
      </c>
      <c r="R111" s="8">
        <f>IF($A111="","",IF(COUNTIFS(控制措施表!$B:$B,$A111,控制措施表!$C:$C,$F111,控制措施表!$F:$F,"是")=0,IF(COUNTIFS(控制措施表!$B:$B,$A111,控制措施表!$C:$C,$F111)=0,"",MINIFS(控制措施表!$E:$E,控制措施表!$B:$B,$A111,控制措施表!$C:$C,$F111)),MINIFS(控制措施表!$E:$E,控制措施表!$B:$B,$A111,控制措施表!$C:$C,$F111,控制措施表!$F:$F,"是")))</f>
        <v/>
      </c>
      <c r="S111" s="24">
        <f>IF($A111="","",IF(R111="",0,VLOOKUP(R111,参数配置!$D$4:$E$8,2,FALSE)))</f>
        <v/>
      </c>
      <c r="T111" s="23">
        <f>IF($A111="","",IF(Q111="","",ROUND(Q111*(1-S111),2)))</f>
        <v/>
      </c>
      <c r="U111" s="8">
        <f>IF($A111="","",IF(T111="","",IF(T111&gt;=参数配置!$B$14,"极高",IF(T111&gt;=参数配置!$B$15,"高",IF(T111&gt;=参数配置!$B$16,"中",IF(T111&gt;=参数配置!$B$17,"低","极低"))))))</f>
        <v/>
      </c>
      <c r="V111" s="8">
        <f>IF($A111="","",IF(P111="","",ROUND(P111,0)))</f>
        <v/>
      </c>
      <c r="W111" s="8">
        <f>IF($A111="","",IF(Q111="","",ROUND(Q111,0)))</f>
        <v/>
      </c>
      <c r="X111" s="8">
        <f>IF($A111="","",IF(U111="","",IF(U111="极高","每年必审",IF(U111="高","每年审计",IF(U111="中","两年一轮","按需抽查")))))</f>
        <v/>
      </c>
      <c r="Y111" s="24">
        <f>IF($A111="","",IF(OR(Q111="",Q111=0),"",(Q111-T111)/Q111))</f>
        <v/>
      </c>
    </row>
    <row r="112">
      <c r="P112" s="23">
        <f>IF($A112="","",IF(COUNT(H112:O112)=0,"",ROUND(MAX(SUMPRODUCT(H112:O112,IFERROR(VLOOKUP($C112,参数配置!$A$26:$I$38,{2,3,4,5,6,7,8,9},FALSE),VLOOKUP(参数配置!$A$26,参数配置!$A$26:$I$38,{2,3,4,5,6,7,8,9},FALSE)))/SUMPRODUCT(IFERROR(VLOOKUP($C112,参数配置!$A$26:$I$38,{2,3,4,5,6,7,8,9},FALSE),VLOOKUP(参数配置!$A$26,参数配置!$A$26:$I$38,{2,3,4,5,6,7,8,9},FALSE)),--(H112:O112&lt;&gt;"")),参数配置!$E$13*MAX(H112:O112)),2)))</f>
        <v/>
      </c>
      <c r="Q112" s="23">
        <f>IF($A112="","",IF(P112="","",ROUND(G112*P112,2)))</f>
        <v/>
      </c>
      <c r="R112" s="8">
        <f>IF($A112="","",IF(COUNTIFS(控制措施表!$B:$B,$A112,控制措施表!$C:$C,$F112,控制措施表!$F:$F,"是")=0,IF(COUNTIFS(控制措施表!$B:$B,$A112,控制措施表!$C:$C,$F112)=0,"",MINIFS(控制措施表!$E:$E,控制措施表!$B:$B,$A112,控制措施表!$C:$C,$F112)),MINIFS(控制措施表!$E:$E,控制措施表!$B:$B,$A112,控制措施表!$C:$C,$F112,控制措施表!$F:$F,"是")))</f>
        <v/>
      </c>
      <c r="S112" s="24">
        <f>IF($A112="","",IF(R112="",0,VLOOKUP(R112,参数配置!$D$4:$E$8,2,FALSE)))</f>
        <v/>
      </c>
      <c r="T112" s="23">
        <f>IF($A112="","",IF(Q112="","",ROUND(Q112*(1-S112),2)))</f>
        <v/>
      </c>
      <c r="U112" s="8">
        <f>IF($A112="","",IF(T112="","",IF(T112&gt;=参数配置!$B$14,"极高",IF(T112&gt;=参数配置!$B$15,"高",IF(T112&gt;=参数配置!$B$16,"中",IF(T112&gt;=参数配置!$B$17,"低","极低"))))))</f>
        <v/>
      </c>
      <c r="V112" s="8">
        <f>IF($A112="","",IF(P112="","",ROUND(P112,0)))</f>
        <v/>
      </c>
      <c r="W112" s="8">
        <f>IF($A112="","",IF(Q112="","",ROUND(Q112,0)))</f>
        <v/>
      </c>
      <c r="X112" s="8">
        <f>IF($A112="","",IF(U112="","",IF(U112="极高","每年必审",IF(U112="高","每年审计",IF(U112="中","两年一轮","按需抽查")))))</f>
        <v/>
      </c>
      <c r="Y112" s="24">
        <f>IF($A112="","",IF(OR(Q112="",Q112=0),"",(Q112-T112)/Q112))</f>
        <v/>
      </c>
    </row>
    <row r="113">
      <c r="P113" s="23">
        <f>IF($A113="","",IF(COUNT(H113:O113)=0,"",ROUND(MAX(SUMPRODUCT(H113:O113,IFERROR(VLOOKUP($C113,参数配置!$A$26:$I$38,{2,3,4,5,6,7,8,9},FALSE),VLOOKUP(参数配置!$A$26,参数配置!$A$26:$I$38,{2,3,4,5,6,7,8,9},FALSE)))/SUMPRODUCT(IFERROR(VLOOKUP($C113,参数配置!$A$26:$I$38,{2,3,4,5,6,7,8,9},FALSE),VLOOKUP(参数配置!$A$26,参数配置!$A$26:$I$38,{2,3,4,5,6,7,8,9},FALSE)),--(H113:O113&lt;&gt;"")),参数配置!$E$13*MAX(H113:O113)),2)))</f>
        <v/>
      </c>
      <c r="Q113" s="23">
        <f>IF($A113="","",IF(P113="","",ROUND(G113*P113,2)))</f>
        <v/>
      </c>
      <c r="R113" s="8">
        <f>IF($A113="","",IF(COUNTIFS(控制措施表!$B:$B,$A113,控制措施表!$C:$C,$F113,控制措施表!$F:$F,"是")=0,IF(COUNTIFS(控制措施表!$B:$B,$A113,控制措施表!$C:$C,$F113)=0,"",MINIFS(控制措施表!$E:$E,控制措施表!$B:$B,$A113,控制措施表!$C:$C,$F113)),MINIFS(控制措施表!$E:$E,控制措施表!$B:$B,$A113,控制措施表!$C:$C,$F113,控制措施表!$F:$F,"是")))</f>
        <v/>
      </c>
      <c r="S113" s="24">
        <f>IF($A113="","",IF(R113="",0,VLOOKUP(R113,参数配置!$D$4:$E$8,2,FALSE)))</f>
        <v/>
      </c>
      <c r="T113" s="23">
        <f>IF($A113="","",IF(Q113="","",ROUND(Q113*(1-S113),2)))</f>
        <v/>
      </c>
      <c r="U113" s="8">
        <f>IF($A113="","",IF(T113="","",IF(T113&gt;=参数配置!$B$14,"极高",IF(T113&gt;=参数配置!$B$15,"高",IF(T113&gt;=参数配置!$B$16,"中",IF(T113&gt;=参数配置!$B$17,"低","极低"))))))</f>
        <v/>
      </c>
      <c r="V113" s="8">
        <f>IF($A113="","",IF(P113="","",ROUND(P113,0)))</f>
        <v/>
      </c>
      <c r="W113" s="8">
        <f>IF($A113="","",IF(Q113="","",ROUND(Q113,0)))</f>
        <v/>
      </c>
      <c r="X113" s="8">
        <f>IF($A113="","",IF(U113="","",IF(U113="极高","每年必审",IF(U113="高","每年审计",IF(U113="中","两年一轮","按需抽查")))))</f>
        <v/>
      </c>
      <c r="Y113" s="24">
        <f>IF($A113="","",IF(OR(Q113="",Q113=0),"",(Q113-T113)/Q113))</f>
        <v/>
      </c>
    </row>
    <row r="114">
      <c r="P114" s="23">
        <f>IF($A114="","",IF(COUNT(H114:O114)=0,"",ROUND(MAX(SUMPRODUCT(H114:O114,IFERROR(VLOOKUP($C114,参数配置!$A$26:$I$38,{2,3,4,5,6,7,8,9},FALSE),VLOOKUP(参数配置!$A$26,参数配置!$A$26:$I$38,{2,3,4,5,6,7,8,9},FALSE)))/SUMPRODUCT(IFERROR(VLOOKUP($C114,参数配置!$A$26:$I$38,{2,3,4,5,6,7,8,9},FALSE),VLOOKUP(参数配置!$A$26,参数配置!$A$26:$I$38,{2,3,4,5,6,7,8,9},FALSE)),--(H114:O114&lt;&gt;"")),参数配置!$E$13*MAX(H114:O114)),2)))</f>
        <v/>
      </c>
      <c r="Q114" s="23">
        <f>IF($A114="","",IF(P114="","",ROUND(G114*P114,2)))</f>
        <v/>
      </c>
      <c r="R114" s="8">
        <f>IF($A114="","",IF(COUNTIFS(控制措施表!$B:$B,$A114,控制措施表!$C:$C,$F114,控制措施表!$F:$F,"是")=0,IF(COUNTIFS(控制措施表!$B:$B,$A114,控制措施表!$C:$C,$F114)=0,"",MINIFS(控制措施表!$E:$E,控制措施表!$B:$B,$A114,控制措施表!$C:$C,$F114)),MINIFS(控制措施表!$E:$E,控制措施表!$B:$B,$A114,控制措施表!$C:$C,$F114,控制措施表!$F:$F,"是")))</f>
        <v/>
      </c>
      <c r="S114" s="24">
        <f>IF($A114="","",IF(R114="",0,VLOOKUP(R114,参数配置!$D$4:$E$8,2,FALSE)))</f>
        <v/>
      </c>
      <c r="T114" s="23">
        <f>IF($A114="","",IF(Q114="","",ROUND(Q114*(1-S114),2)))</f>
        <v/>
      </c>
      <c r="U114" s="8">
        <f>IF($A114="","",IF(T114="","",IF(T114&gt;=参数配置!$B$14,"极高",IF(T114&gt;=参数配置!$B$15,"高",IF(T114&gt;=参数配置!$B$16,"中",IF(T114&gt;=参数配置!$B$17,"低","极低"))))))</f>
        <v/>
      </c>
      <c r="V114" s="8">
        <f>IF($A114="","",IF(P114="","",ROUND(P114,0)))</f>
        <v/>
      </c>
      <c r="W114" s="8">
        <f>IF($A114="","",IF(Q114="","",ROUND(Q114,0)))</f>
        <v/>
      </c>
      <c r="X114" s="8">
        <f>IF($A114="","",IF(U114="","",IF(U114="极高","每年必审",IF(U114="高","每年审计",IF(U114="中","两年一轮","按需抽查")))))</f>
        <v/>
      </c>
      <c r="Y114" s="24">
        <f>IF($A114="","",IF(OR(Q114="",Q114=0),"",(Q114-T114)/Q114))</f>
        <v/>
      </c>
    </row>
    <row r="115">
      <c r="P115" s="23">
        <f>IF($A115="","",IF(COUNT(H115:O115)=0,"",ROUND(MAX(SUMPRODUCT(H115:O115,IFERROR(VLOOKUP($C115,参数配置!$A$26:$I$38,{2,3,4,5,6,7,8,9},FALSE),VLOOKUP(参数配置!$A$26,参数配置!$A$26:$I$38,{2,3,4,5,6,7,8,9},FALSE)))/SUMPRODUCT(IFERROR(VLOOKUP($C115,参数配置!$A$26:$I$38,{2,3,4,5,6,7,8,9},FALSE),VLOOKUP(参数配置!$A$26,参数配置!$A$26:$I$38,{2,3,4,5,6,7,8,9},FALSE)),--(H115:O115&lt;&gt;"")),参数配置!$E$13*MAX(H115:O115)),2)))</f>
        <v/>
      </c>
      <c r="Q115" s="23">
        <f>IF($A115="","",IF(P115="","",ROUND(G115*P115,2)))</f>
        <v/>
      </c>
      <c r="R115" s="8">
        <f>IF($A115="","",IF(COUNTIFS(控制措施表!$B:$B,$A115,控制措施表!$C:$C,$F115,控制措施表!$F:$F,"是")=0,IF(COUNTIFS(控制措施表!$B:$B,$A115,控制措施表!$C:$C,$F115)=0,"",MINIFS(控制措施表!$E:$E,控制措施表!$B:$B,$A115,控制措施表!$C:$C,$F115)),MINIFS(控制措施表!$E:$E,控制措施表!$B:$B,$A115,控制措施表!$C:$C,$F115,控制措施表!$F:$F,"是")))</f>
        <v/>
      </c>
      <c r="S115" s="24">
        <f>IF($A115="","",IF(R115="",0,VLOOKUP(R115,参数配置!$D$4:$E$8,2,FALSE)))</f>
        <v/>
      </c>
      <c r="T115" s="23">
        <f>IF($A115="","",IF(Q115="","",ROUND(Q115*(1-S115),2)))</f>
        <v/>
      </c>
      <c r="U115" s="8">
        <f>IF($A115="","",IF(T115="","",IF(T115&gt;=参数配置!$B$14,"极高",IF(T115&gt;=参数配置!$B$15,"高",IF(T115&gt;=参数配置!$B$16,"中",IF(T115&gt;=参数配置!$B$17,"低","极低"))))))</f>
        <v/>
      </c>
      <c r="V115" s="8">
        <f>IF($A115="","",IF(P115="","",ROUND(P115,0)))</f>
        <v/>
      </c>
      <c r="W115" s="8">
        <f>IF($A115="","",IF(Q115="","",ROUND(Q115,0)))</f>
        <v/>
      </c>
      <c r="X115" s="8">
        <f>IF($A115="","",IF(U115="","",IF(U115="极高","每年必审",IF(U115="高","每年审计",IF(U115="中","两年一轮","按需抽查")))))</f>
        <v/>
      </c>
      <c r="Y115" s="24">
        <f>IF($A115="","",IF(OR(Q115="",Q115=0),"",(Q115-T115)/Q115))</f>
        <v/>
      </c>
    </row>
    <row r="116">
      <c r="P116" s="23">
        <f>IF($A116="","",IF(COUNT(H116:O116)=0,"",ROUND(MAX(SUMPRODUCT(H116:O116,IFERROR(VLOOKUP($C116,参数配置!$A$26:$I$38,{2,3,4,5,6,7,8,9},FALSE),VLOOKUP(参数配置!$A$26,参数配置!$A$26:$I$38,{2,3,4,5,6,7,8,9},FALSE)))/SUMPRODUCT(IFERROR(VLOOKUP($C116,参数配置!$A$26:$I$38,{2,3,4,5,6,7,8,9},FALSE),VLOOKUP(参数配置!$A$26,参数配置!$A$26:$I$38,{2,3,4,5,6,7,8,9},FALSE)),--(H116:O116&lt;&gt;"")),参数配置!$E$13*MAX(H116:O116)),2)))</f>
        <v/>
      </c>
      <c r="Q116" s="23">
        <f>IF($A116="","",IF(P116="","",ROUND(G116*P116,2)))</f>
        <v/>
      </c>
      <c r="R116" s="8">
        <f>IF($A116="","",IF(COUNTIFS(控制措施表!$B:$B,$A116,控制措施表!$C:$C,$F116,控制措施表!$F:$F,"是")=0,IF(COUNTIFS(控制措施表!$B:$B,$A116,控制措施表!$C:$C,$F116)=0,"",MINIFS(控制措施表!$E:$E,控制措施表!$B:$B,$A116,控制措施表!$C:$C,$F116)),MINIFS(控制措施表!$E:$E,控制措施表!$B:$B,$A116,控制措施表!$C:$C,$F116,控制措施表!$F:$F,"是")))</f>
        <v/>
      </c>
      <c r="S116" s="24">
        <f>IF($A116="","",IF(R116="",0,VLOOKUP(R116,参数配置!$D$4:$E$8,2,FALSE)))</f>
        <v/>
      </c>
      <c r="T116" s="23">
        <f>IF($A116="","",IF(Q116="","",ROUND(Q116*(1-S116),2)))</f>
        <v/>
      </c>
      <c r="U116" s="8">
        <f>IF($A116="","",IF(T116="","",IF(T116&gt;=参数配置!$B$14,"极高",IF(T116&gt;=参数配置!$B$15,"高",IF(T116&gt;=参数配置!$B$16,"中",IF(T116&gt;=参数配置!$B$17,"低","极低"))))))</f>
        <v/>
      </c>
      <c r="V116" s="8">
        <f>IF($A116="","",IF(P116="","",ROUND(P116,0)))</f>
        <v/>
      </c>
      <c r="W116" s="8">
        <f>IF($A116="","",IF(Q116="","",ROUND(Q116,0)))</f>
        <v/>
      </c>
      <c r="X116" s="8">
        <f>IF($A116="","",IF(U116="","",IF(U116="极高","每年必审",IF(U116="高","每年审计",IF(U116="中","两年一轮","按需抽查")))))</f>
        <v/>
      </c>
      <c r="Y116" s="24">
        <f>IF($A116="","",IF(OR(Q116="",Q116=0),"",(Q116-T116)/Q116))</f>
        <v/>
      </c>
    </row>
    <row r="117">
      <c r="P117" s="23">
        <f>IF($A117="","",IF(COUNT(H117:O117)=0,"",ROUND(MAX(SUMPRODUCT(H117:O117,IFERROR(VLOOKUP($C117,参数配置!$A$26:$I$38,{2,3,4,5,6,7,8,9},FALSE),VLOOKUP(参数配置!$A$26,参数配置!$A$26:$I$38,{2,3,4,5,6,7,8,9},FALSE)))/SUMPRODUCT(IFERROR(VLOOKUP($C117,参数配置!$A$26:$I$38,{2,3,4,5,6,7,8,9},FALSE),VLOOKUP(参数配置!$A$26,参数配置!$A$26:$I$38,{2,3,4,5,6,7,8,9},FALSE)),--(H117:O117&lt;&gt;"")),参数配置!$E$13*MAX(H117:O117)),2)))</f>
        <v/>
      </c>
      <c r="Q117" s="23">
        <f>IF($A117="","",IF(P117="","",ROUND(G117*P117,2)))</f>
        <v/>
      </c>
      <c r="R117" s="8">
        <f>IF($A117="","",IF(COUNTIFS(控制措施表!$B:$B,$A117,控制措施表!$C:$C,$F117,控制措施表!$F:$F,"是")=0,IF(COUNTIFS(控制措施表!$B:$B,$A117,控制措施表!$C:$C,$F117)=0,"",MINIFS(控制措施表!$E:$E,控制措施表!$B:$B,$A117,控制措施表!$C:$C,$F117)),MINIFS(控制措施表!$E:$E,控制措施表!$B:$B,$A117,控制措施表!$C:$C,$F117,控制措施表!$F:$F,"是")))</f>
        <v/>
      </c>
      <c r="S117" s="24">
        <f>IF($A117="","",IF(R117="",0,VLOOKUP(R117,参数配置!$D$4:$E$8,2,FALSE)))</f>
        <v/>
      </c>
      <c r="T117" s="23">
        <f>IF($A117="","",IF(Q117="","",ROUND(Q117*(1-S117),2)))</f>
        <v/>
      </c>
      <c r="U117" s="8">
        <f>IF($A117="","",IF(T117="","",IF(T117&gt;=参数配置!$B$14,"极高",IF(T117&gt;=参数配置!$B$15,"高",IF(T117&gt;=参数配置!$B$16,"中",IF(T117&gt;=参数配置!$B$17,"低","极低"))))))</f>
        <v/>
      </c>
      <c r="V117" s="8">
        <f>IF($A117="","",IF(P117="","",ROUND(P117,0)))</f>
        <v/>
      </c>
      <c r="W117" s="8">
        <f>IF($A117="","",IF(Q117="","",ROUND(Q117,0)))</f>
        <v/>
      </c>
      <c r="X117" s="8">
        <f>IF($A117="","",IF(U117="","",IF(U117="极高","每年必审",IF(U117="高","每年审计",IF(U117="中","两年一轮","按需抽查")))))</f>
        <v/>
      </c>
      <c r="Y117" s="24">
        <f>IF($A117="","",IF(OR(Q117="",Q117=0),"",(Q117-T117)/Q117))</f>
        <v/>
      </c>
    </row>
    <row r="118">
      <c r="P118" s="23">
        <f>IF($A118="","",IF(COUNT(H118:O118)=0,"",ROUND(MAX(SUMPRODUCT(H118:O118,IFERROR(VLOOKUP($C118,参数配置!$A$26:$I$38,{2,3,4,5,6,7,8,9},FALSE),VLOOKUP(参数配置!$A$26,参数配置!$A$26:$I$38,{2,3,4,5,6,7,8,9},FALSE)))/SUMPRODUCT(IFERROR(VLOOKUP($C118,参数配置!$A$26:$I$38,{2,3,4,5,6,7,8,9},FALSE),VLOOKUP(参数配置!$A$26,参数配置!$A$26:$I$38,{2,3,4,5,6,7,8,9},FALSE)),--(H118:O118&lt;&gt;"")),参数配置!$E$13*MAX(H118:O118)),2)))</f>
        <v/>
      </c>
      <c r="Q118" s="23">
        <f>IF($A118="","",IF(P118="","",ROUND(G118*P118,2)))</f>
        <v/>
      </c>
      <c r="R118" s="8">
        <f>IF($A118="","",IF(COUNTIFS(控制措施表!$B:$B,$A118,控制措施表!$C:$C,$F118,控制措施表!$F:$F,"是")=0,IF(COUNTIFS(控制措施表!$B:$B,$A118,控制措施表!$C:$C,$F118)=0,"",MINIFS(控制措施表!$E:$E,控制措施表!$B:$B,$A118,控制措施表!$C:$C,$F118)),MINIFS(控制措施表!$E:$E,控制措施表!$B:$B,$A118,控制措施表!$C:$C,$F118,控制措施表!$F:$F,"是")))</f>
        <v/>
      </c>
      <c r="S118" s="24">
        <f>IF($A118="","",IF(R118="",0,VLOOKUP(R118,参数配置!$D$4:$E$8,2,FALSE)))</f>
        <v/>
      </c>
      <c r="T118" s="23">
        <f>IF($A118="","",IF(Q118="","",ROUND(Q118*(1-S118),2)))</f>
        <v/>
      </c>
      <c r="U118" s="8">
        <f>IF($A118="","",IF(T118="","",IF(T118&gt;=参数配置!$B$14,"极高",IF(T118&gt;=参数配置!$B$15,"高",IF(T118&gt;=参数配置!$B$16,"中",IF(T118&gt;=参数配置!$B$17,"低","极低"))))))</f>
        <v/>
      </c>
      <c r="V118" s="8">
        <f>IF($A118="","",IF(P118="","",ROUND(P118,0)))</f>
        <v/>
      </c>
      <c r="W118" s="8">
        <f>IF($A118="","",IF(Q118="","",ROUND(Q118,0)))</f>
        <v/>
      </c>
      <c r="X118" s="8">
        <f>IF($A118="","",IF(U118="","",IF(U118="极高","每年必审",IF(U118="高","每年审计",IF(U118="中","两年一轮","按需抽查")))))</f>
        <v/>
      </c>
      <c r="Y118" s="24">
        <f>IF($A118="","",IF(OR(Q118="",Q118=0),"",(Q118-T118)/Q118))</f>
        <v/>
      </c>
    </row>
    <row r="119">
      <c r="P119" s="23">
        <f>IF($A119="","",IF(COUNT(H119:O119)=0,"",ROUND(MAX(SUMPRODUCT(H119:O119,IFERROR(VLOOKUP($C119,参数配置!$A$26:$I$38,{2,3,4,5,6,7,8,9},FALSE),VLOOKUP(参数配置!$A$26,参数配置!$A$26:$I$38,{2,3,4,5,6,7,8,9},FALSE)))/SUMPRODUCT(IFERROR(VLOOKUP($C119,参数配置!$A$26:$I$38,{2,3,4,5,6,7,8,9},FALSE),VLOOKUP(参数配置!$A$26,参数配置!$A$26:$I$38,{2,3,4,5,6,7,8,9},FALSE)),--(H119:O119&lt;&gt;"")),参数配置!$E$13*MAX(H119:O119)),2)))</f>
        <v/>
      </c>
      <c r="Q119" s="23">
        <f>IF($A119="","",IF(P119="","",ROUND(G119*P119,2)))</f>
        <v/>
      </c>
      <c r="R119" s="8">
        <f>IF($A119="","",IF(COUNTIFS(控制措施表!$B:$B,$A119,控制措施表!$C:$C,$F119,控制措施表!$F:$F,"是")=0,IF(COUNTIFS(控制措施表!$B:$B,$A119,控制措施表!$C:$C,$F119)=0,"",MINIFS(控制措施表!$E:$E,控制措施表!$B:$B,$A119,控制措施表!$C:$C,$F119)),MINIFS(控制措施表!$E:$E,控制措施表!$B:$B,$A119,控制措施表!$C:$C,$F119,控制措施表!$F:$F,"是")))</f>
        <v/>
      </c>
      <c r="S119" s="24">
        <f>IF($A119="","",IF(R119="",0,VLOOKUP(R119,参数配置!$D$4:$E$8,2,FALSE)))</f>
        <v/>
      </c>
      <c r="T119" s="23">
        <f>IF($A119="","",IF(Q119="","",ROUND(Q119*(1-S119),2)))</f>
        <v/>
      </c>
      <c r="U119" s="8">
        <f>IF($A119="","",IF(T119="","",IF(T119&gt;=参数配置!$B$14,"极高",IF(T119&gt;=参数配置!$B$15,"高",IF(T119&gt;=参数配置!$B$16,"中",IF(T119&gt;=参数配置!$B$17,"低","极低"))))))</f>
        <v/>
      </c>
      <c r="V119" s="8">
        <f>IF($A119="","",IF(P119="","",ROUND(P119,0)))</f>
        <v/>
      </c>
      <c r="W119" s="8">
        <f>IF($A119="","",IF(Q119="","",ROUND(Q119,0)))</f>
        <v/>
      </c>
      <c r="X119" s="8">
        <f>IF($A119="","",IF(U119="","",IF(U119="极高","每年必审",IF(U119="高","每年审计",IF(U119="中","两年一轮","按需抽查")))))</f>
        <v/>
      </c>
      <c r="Y119" s="24">
        <f>IF($A119="","",IF(OR(Q119="",Q119=0),"",(Q119-T119)/Q119))</f>
        <v/>
      </c>
    </row>
    <row r="120">
      <c r="P120" s="23">
        <f>IF($A120="","",IF(COUNT(H120:O120)=0,"",ROUND(MAX(SUMPRODUCT(H120:O120,IFERROR(VLOOKUP($C120,参数配置!$A$26:$I$38,{2,3,4,5,6,7,8,9},FALSE),VLOOKUP(参数配置!$A$26,参数配置!$A$26:$I$38,{2,3,4,5,6,7,8,9},FALSE)))/SUMPRODUCT(IFERROR(VLOOKUP($C120,参数配置!$A$26:$I$38,{2,3,4,5,6,7,8,9},FALSE),VLOOKUP(参数配置!$A$26,参数配置!$A$26:$I$38,{2,3,4,5,6,7,8,9},FALSE)),--(H120:O120&lt;&gt;"")),参数配置!$E$13*MAX(H120:O120)),2)))</f>
        <v/>
      </c>
      <c r="Q120" s="23">
        <f>IF($A120="","",IF(P120="","",ROUND(G120*P120,2)))</f>
        <v/>
      </c>
      <c r="R120" s="8">
        <f>IF($A120="","",IF(COUNTIFS(控制措施表!$B:$B,$A120,控制措施表!$C:$C,$F120,控制措施表!$F:$F,"是")=0,IF(COUNTIFS(控制措施表!$B:$B,$A120,控制措施表!$C:$C,$F120)=0,"",MINIFS(控制措施表!$E:$E,控制措施表!$B:$B,$A120,控制措施表!$C:$C,$F120)),MINIFS(控制措施表!$E:$E,控制措施表!$B:$B,$A120,控制措施表!$C:$C,$F120,控制措施表!$F:$F,"是")))</f>
        <v/>
      </c>
      <c r="S120" s="24">
        <f>IF($A120="","",IF(R120="",0,VLOOKUP(R120,参数配置!$D$4:$E$8,2,FALSE)))</f>
        <v/>
      </c>
      <c r="T120" s="23">
        <f>IF($A120="","",IF(Q120="","",ROUND(Q120*(1-S120),2)))</f>
        <v/>
      </c>
      <c r="U120" s="8">
        <f>IF($A120="","",IF(T120="","",IF(T120&gt;=参数配置!$B$14,"极高",IF(T120&gt;=参数配置!$B$15,"高",IF(T120&gt;=参数配置!$B$16,"中",IF(T120&gt;=参数配置!$B$17,"低","极低"))))))</f>
        <v/>
      </c>
      <c r="V120" s="8">
        <f>IF($A120="","",IF(P120="","",ROUND(P120,0)))</f>
        <v/>
      </c>
      <c r="W120" s="8">
        <f>IF($A120="","",IF(Q120="","",ROUND(Q120,0)))</f>
        <v/>
      </c>
      <c r="X120" s="8">
        <f>IF($A120="","",IF(U120="","",IF(U120="极高","每年必审",IF(U120="高","每年审计",IF(U120="中","两年一轮","按需抽查")))))</f>
        <v/>
      </c>
      <c r="Y120" s="24">
        <f>IF($A120="","",IF(OR(Q120="",Q120=0),"",(Q120-T120)/Q120))</f>
        <v/>
      </c>
    </row>
    <row r="121">
      <c r="P121" s="23">
        <f>IF($A121="","",IF(COUNT(H121:O121)=0,"",ROUND(MAX(SUMPRODUCT(H121:O121,IFERROR(VLOOKUP($C121,参数配置!$A$26:$I$38,{2,3,4,5,6,7,8,9},FALSE),VLOOKUP(参数配置!$A$26,参数配置!$A$26:$I$38,{2,3,4,5,6,7,8,9},FALSE)))/SUMPRODUCT(IFERROR(VLOOKUP($C121,参数配置!$A$26:$I$38,{2,3,4,5,6,7,8,9},FALSE),VLOOKUP(参数配置!$A$26,参数配置!$A$26:$I$38,{2,3,4,5,6,7,8,9},FALSE)),--(H121:O121&lt;&gt;"")),参数配置!$E$13*MAX(H121:O121)),2)))</f>
        <v/>
      </c>
      <c r="Q121" s="23">
        <f>IF($A121="","",IF(P121="","",ROUND(G121*P121,2)))</f>
        <v/>
      </c>
      <c r="R121" s="8">
        <f>IF($A121="","",IF(COUNTIFS(控制措施表!$B:$B,$A121,控制措施表!$C:$C,$F121,控制措施表!$F:$F,"是")=0,IF(COUNTIFS(控制措施表!$B:$B,$A121,控制措施表!$C:$C,$F121)=0,"",MINIFS(控制措施表!$E:$E,控制措施表!$B:$B,$A121,控制措施表!$C:$C,$F121)),MINIFS(控制措施表!$E:$E,控制措施表!$B:$B,$A121,控制措施表!$C:$C,$F121,控制措施表!$F:$F,"是")))</f>
        <v/>
      </c>
      <c r="S121" s="24">
        <f>IF($A121="","",IF(R121="",0,VLOOKUP(R121,参数配置!$D$4:$E$8,2,FALSE)))</f>
        <v/>
      </c>
      <c r="T121" s="23">
        <f>IF($A121="","",IF(Q121="","",ROUND(Q121*(1-S121),2)))</f>
        <v/>
      </c>
      <c r="U121" s="8">
        <f>IF($A121="","",IF(T121="","",IF(T121&gt;=参数配置!$B$14,"极高",IF(T121&gt;=参数配置!$B$15,"高",IF(T121&gt;=参数配置!$B$16,"中",IF(T121&gt;=参数配置!$B$17,"低","极低"))))))</f>
        <v/>
      </c>
      <c r="V121" s="8">
        <f>IF($A121="","",IF(P121="","",ROUND(P121,0)))</f>
        <v/>
      </c>
      <c r="W121" s="8">
        <f>IF($A121="","",IF(Q121="","",ROUND(Q121,0)))</f>
        <v/>
      </c>
      <c r="X121" s="8">
        <f>IF($A121="","",IF(U121="","",IF(U121="极高","每年必审",IF(U121="高","每年审计",IF(U121="中","两年一轮","按需抽查")))))</f>
        <v/>
      </c>
      <c r="Y121" s="24">
        <f>IF($A121="","",IF(OR(Q121="",Q121=0),"",(Q121-T121)/Q121))</f>
        <v/>
      </c>
    </row>
    <row r="122">
      <c r="P122" s="23">
        <f>IF($A122="","",IF(COUNT(H122:O122)=0,"",ROUND(MAX(SUMPRODUCT(H122:O122,IFERROR(VLOOKUP($C122,参数配置!$A$26:$I$38,{2,3,4,5,6,7,8,9},FALSE),VLOOKUP(参数配置!$A$26,参数配置!$A$26:$I$38,{2,3,4,5,6,7,8,9},FALSE)))/SUMPRODUCT(IFERROR(VLOOKUP($C122,参数配置!$A$26:$I$38,{2,3,4,5,6,7,8,9},FALSE),VLOOKUP(参数配置!$A$26,参数配置!$A$26:$I$38,{2,3,4,5,6,7,8,9},FALSE)),--(H122:O122&lt;&gt;"")),参数配置!$E$13*MAX(H122:O122)),2)))</f>
        <v/>
      </c>
      <c r="Q122" s="23">
        <f>IF($A122="","",IF(P122="","",ROUND(G122*P122,2)))</f>
        <v/>
      </c>
      <c r="R122" s="8">
        <f>IF($A122="","",IF(COUNTIFS(控制措施表!$B:$B,$A122,控制措施表!$C:$C,$F122,控制措施表!$F:$F,"是")=0,IF(COUNTIFS(控制措施表!$B:$B,$A122,控制措施表!$C:$C,$F122)=0,"",MINIFS(控制措施表!$E:$E,控制措施表!$B:$B,$A122,控制措施表!$C:$C,$F122)),MINIFS(控制措施表!$E:$E,控制措施表!$B:$B,$A122,控制措施表!$C:$C,$F122,控制措施表!$F:$F,"是")))</f>
        <v/>
      </c>
      <c r="S122" s="24">
        <f>IF($A122="","",IF(R122="",0,VLOOKUP(R122,参数配置!$D$4:$E$8,2,FALSE)))</f>
        <v/>
      </c>
      <c r="T122" s="23">
        <f>IF($A122="","",IF(Q122="","",ROUND(Q122*(1-S122),2)))</f>
        <v/>
      </c>
      <c r="U122" s="8">
        <f>IF($A122="","",IF(T122="","",IF(T122&gt;=参数配置!$B$14,"极高",IF(T122&gt;=参数配置!$B$15,"高",IF(T122&gt;=参数配置!$B$16,"中",IF(T122&gt;=参数配置!$B$17,"低","极低"))))))</f>
        <v/>
      </c>
      <c r="V122" s="8">
        <f>IF($A122="","",IF(P122="","",ROUND(P122,0)))</f>
        <v/>
      </c>
      <c r="W122" s="8">
        <f>IF($A122="","",IF(Q122="","",ROUND(Q122,0)))</f>
        <v/>
      </c>
      <c r="X122" s="8">
        <f>IF($A122="","",IF(U122="","",IF(U122="极高","每年必审",IF(U122="高","每年审计",IF(U122="中","两年一轮","按需抽查")))))</f>
        <v/>
      </c>
      <c r="Y122" s="24">
        <f>IF($A122="","",IF(OR(Q122="",Q122=0),"",(Q122-T122)/Q122))</f>
        <v/>
      </c>
    </row>
    <row r="123">
      <c r="P123" s="23">
        <f>IF($A123="","",IF(COUNT(H123:O123)=0,"",ROUND(MAX(SUMPRODUCT(H123:O123,IFERROR(VLOOKUP($C123,参数配置!$A$26:$I$38,{2,3,4,5,6,7,8,9},FALSE),VLOOKUP(参数配置!$A$26,参数配置!$A$26:$I$38,{2,3,4,5,6,7,8,9},FALSE)))/SUMPRODUCT(IFERROR(VLOOKUP($C123,参数配置!$A$26:$I$38,{2,3,4,5,6,7,8,9},FALSE),VLOOKUP(参数配置!$A$26,参数配置!$A$26:$I$38,{2,3,4,5,6,7,8,9},FALSE)),--(H123:O123&lt;&gt;"")),参数配置!$E$13*MAX(H123:O123)),2)))</f>
        <v/>
      </c>
      <c r="Q123" s="23">
        <f>IF($A123="","",IF(P123="","",ROUND(G123*P123,2)))</f>
        <v/>
      </c>
      <c r="R123" s="8">
        <f>IF($A123="","",IF(COUNTIFS(控制措施表!$B:$B,$A123,控制措施表!$C:$C,$F123,控制措施表!$F:$F,"是")=0,IF(COUNTIFS(控制措施表!$B:$B,$A123,控制措施表!$C:$C,$F123)=0,"",MINIFS(控制措施表!$E:$E,控制措施表!$B:$B,$A123,控制措施表!$C:$C,$F123)),MINIFS(控制措施表!$E:$E,控制措施表!$B:$B,$A123,控制措施表!$C:$C,$F123,控制措施表!$F:$F,"是")))</f>
        <v/>
      </c>
      <c r="S123" s="24">
        <f>IF($A123="","",IF(R123="",0,VLOOKUP(R123,参数配置!$D$4:$E$8,2,FALSE)))</f>
        <v/>
      </c>
      <c r="T123" s="23">
        <f>IF($A123="","",IF(Q123="","",ROUND(Q123*(1-S123),2)))</f>
        <v/>
      </c>
      <c r="U123" s="8">
        <f>IF($A123="","",IF(T123="","",IF(T123&gt;=参数配置!$B$14,"极高",IF(T123&gt;=参数配置!$B$15,"高",IF(T123&gt;=参数配置!$B$16,"中",IF(T123&gt;=参数配置!$B$17,"低","极低"))))))</f>
        <v/>
      </c>
      <c r="V123" s="8">
        <f>IF($A123="","",IF(P123="","",ROUND(P123,0)))</f>
        <v/>
      </c>
      <c r="W123" s="8">
        <f>IF($A123="","",IF(Q123="","",ROUND(Q123,0)))</f>
        <v/>
      </c>
      <c r="X123" s="8">
        <f>IF($A123="","",IF(U123="","",IF(U123="极高","每年必审",IF(U123="高","每年审计",IF(U123="中","两年一轮","按需抽查")))))</f>
        <v/>
      </c>
      <c r="Y123" s="24">
        <f>IF($A123="","",IF(OR(Q123="",Q123=0),"",(Q123-T123)/Q123))</f>
        <v/>
      </c>
    </row>
    <row r="124">
      <c r="P124" s="23">
        <f>IF($A124="","",IF(COUNT(H124:O124)=0,"",ROUND(MAX(SUMPRODUCT(H124:O124,IFERROR(VLOOKUP($C124,参数配置!$A$26:$I$38,{2,3,4,5,6,7,8,9},FALSE),VLOOKUP(参数配置!$A$26,参数配置!$A$26:$I$38,{2,3,4,5,6,7,8,9},FALSE)))/SUMPRODUCT(IFERROR(VLOOKUP($C124,参数配置!$A$26:$I$38,{2,3,4,5,6,7,8,9},FALSE),VLOOKUP(参数配置!$A$26,参数配置!$A$26:$I$38,{2,3,4,5,6,7,8,9},FALSE)),--(H124:O124&lt;&gt;"")),参数配置!$E$13*MAX(H124:O124)),2)))</f>
        <v/>
      </c>
      <c r="Q124" s="23">
        <f>IF($A124="","",IF(P124="","",ROUND(G124*P124,2)))</f>
        <v/>
      </c>
      <c r="R124" s="8">
        <f>IF($A124="","",IF(COUNTIFS(控制措施表!$B:$B,$A124,控制措施表!$C:$C,$F124,控制措施表!$F:$F,"是")=0,IF(COUNTIFS(控制措施表!$B:$B,$A124,控制措施表!$C:$C,$F124)=0,"",MINIFS(控制措施表!$E:$E,控制措施表!$B:$B,$A124,控制措施表!$C:$C,$F124)),MINIFS(控制措施表!$E:$E,控制措施表!$B:$B,$A124,控制措施表!$C:$C,$F124,控制措施表!$F:$F,"是")))</f>
        <v/>
      </c>
      <c r="S124" s="24">
        <f>IF($A124="","",IF(R124="",0,VLOOKUP(R124,参数配置!$D$4:$E$8,2,FALSE)))</f>
        <v/>
      </c>
      <c r="T124" s="23">
        <f>IF($A124="","",IF(Q124="","",ROUND(Q124*(1-S124),2)))</f>
        <v/>
      </c>
      <c r="U124" s="8">
        <f>IF($A124="","",IF(T124="","",IF(T124&gt;=参数配置!$B$14,"极高",IF(T124&gt;=参数配置!$B$15,"高",IF(T124&gt;=参数配置!$B$16,"中",IF(T124&gt;=参数配置!$B$17,"低","极低"))))))</f>
        <v/>
      </c>
      <c r="V124" s="8">
        <f>IF($A124="","",IF(P124="","",ROUND(P124,0)))</f>
        <v/>
      </c>
      <c r="W124" s="8">
        <f>IF($A124="","",IF(Q124="","",ROUND(Q124,0)))</f>
        <v/>
      </c>
      <c r="X124" s="8">
        <f>IF($A124="","",IF(U124="","",IF(U124="极高","每年必审",IF(U124="高","每年审计",IF(U124="中","两年一轮","按需抽查")))))</f>
        <v/>
      </c>
      <c r="Y124" s="24">
        <f>IF($A124="","",IF(OR(Q124="",Q124=0),"",(Q124-T124)/Q124))</f>
        <v/>
      </c>
    </row>
    <row r="125">
      <c r="P125" s="23">
        <f>IF($A125="","",IF(COUNT(H125:O125)=0,"",ROUND(MAX(SUMPRODUCT(H125:O125,IFERROR(VLOOKUP($C125,参数配置!$A$26:$I$38,{2,3,4,5,6,7,8,9},FALSE),VLOOKUP(参数配置!$A$26,参数配置!$A$26:$I$38,{2,3,4,5,6,7,8,9},FALSE)))/SUMPRODUCT(IFERROR(VLOOKUP($C125,参数配置!$A$26:$I$38,{2,3,4,5,6,7,8,9},FALSE),VLOOKUP(参数配置!$A$26,参数配置!$A$26:$I$38,{2,3,4,5,6,7,8,9},FALSE)),--(H125:O125&lt;&gt;"")),参数配置!$E$13*MAX(H125:O125)),2)))</f>
        <v/>
      </c>
      <c r="Q125" s="23">
        <f>IF($A125="","",IF(P125="","",ROUND(G125*P125,2)))</f>
        <v/>
      </c>
      <c r="R125" s="8">
        <f>IF($A125="","",IF(COUNTIFS(控制措施表!$B:$B,$A125,控制措施表!$C:$C,$F125,控制措施表!$F:$F,"是")=0,IF(COUNTIFS(控制措施表!$B:$B,$A125,控制措施表!$C:$C,$F125)=0,"",MINIFS(控制措施表!$E:$E,控制措施表!$B:$B,$A125,控制措施表!$C:$C,$F125)),MINIFS(控制措施表!$E:$E,控制措施表!$B:$B,$A125,控制措施表!$C:$C,$F125,控制措施表!$F:$F,"是")))</f>
        <v/>
      </c>
      <c r="S125" s="24">
        <f>IF($A125="","",IF(R125="",0,VLOOKUP(R125,参数配置!$D$4:$E$8,2,FALSE)))</f>
        <v/>
      </c>
      <c r="T125" s="23">
        <f>IF($A125="","",IF(Q125="","",ROUND(Q125*(1-S125),2)))</f>
        <v/>
      </c>
      <c r="U125" s="8">
        <f>IF($A125="","",IF(T125="","",IF(T125&gt;=参数配置!$B$14,"极高",IF(T125&gt;=参数配置!$B$15,"高",IF(T125&gt;=参数配置!$B$16,"中",IF(T125&gt;=参数配置!$B$17,"低","极低"))))))</f>
        <v/>
      </c>
      <c r="V125" s="8">
        <f>IF($A125="","",IF(P125="","",ROUND(P125,0)))</f>
        <v/>
      </c>
      <c r="W125" s="8">
        <f>IF($A125="","",IF(Q125="","",ROUND(Q125,0)))</f>
        <v/>
      </c>
      <c r="X125" s="8">
        <f>IF($A125="","",IF(U125="","",IF(U125="极高","每年必审",IF(U125="高","每年审计",IF(U125="中","两年一轮","按需抽查")))))</f>
        <v/>
      </c>
      <c r="Y125" s="24">
        <f>IF($A125="","",IF(OR(Q125="",Q125=0),"",(Q125-T125)/Q125))</f>
        <v/>
      </c>
    </row>
    <row r="126">
      <c r="P126" s="23">
        <f>IF($A126="","",IF(COUNT(H126:O126)=0,"",ROUND(MAX(SUMPRODUCT(H126:O126,IFERROR(VLOOKUP($C126,参数配置!$A$26:$I$38,{2,3,4,5,6,7,8,9},FALSE),VLOOKUP(参数配置!$A$26,参数配置!$A$26:$I$38,{2,3,4,5,6,7,8,9},FALSE)))/SUMPRODUCT(IFERROR(VLOOKUP($C126,参数配置!$A$26:$I$38,{2,3,4,5,6,7,8,9},FALSE),VLOOKUP(参数配置!$A$26,参数配置!$A$26:$I$38,{2,3,4,5,6,7,8,9},FALSE)),--(H126:O126&lt;&gt;"")),参数配置!$E$13*MAX(H126:O126)),2)))</f>
        <v/>
      </c>
      <c r="Q126" s="23">
        <f>IF($A126="","",IF(P126="","",ROUND(G126*P126,2)))</f>
        <v/>
      </c>
      <c r="R126" s="8">
        <f>IF($A126="","",IF(COUNTIFS(控制措施表!$B:$B,$A126,控制措施表!$C:$C,$F126,控制措施表!$F:$F,"是")=0,IF(COUNTIFS(控制措施表!$B:$B,$A126,控制措施表!$C:$C,$F126)=0,"",MINIFS(控制措施表!$E:$E,控制措施表!$B:$B,$A126,控制措施表!$C:$C,$F126)),MINIFS(控制措施表!$E:$E,控制措施表!$B:$B,$A126,控制措施表!$C:$C,$F126,控制措施表!$F:$F,"是")))</f>
        <v/>
      </c>
      <c r="S126" s="24">
        <f>IF($A126="","",IF(R126="",0,VLOOKUP(R126,参数配置!$D$4:$E$8,2,FALSE)))</f>
        <v/>
      </c>
      <c r="T126" s="23">
        <f>IF($A126="","",IF(Q126="","",ROUND(Q126*(1-S126),2)))</f>
        <v/>
      </c>
      <c r="U126" s="8">
        <f>IF($A126="","",IF(T126="","",IF(T126&gt;=参数配置!$B$14,"极高",IF(T126&gt;=参数配置!$B$15,"高",IF(T126&gt;=参数配置!$B$16,"中",IF(T126&gt;=参数配置!$B$17,"低","极低"))))))</f>
        <v/>
      </c>
      <c r="V126" s="8">
        <f>IF($A126="","",IF(P126="","",ROUND(P126,0)))</f>
        <v/>
      </c>
      <c r="W126" s="8">
        <f>IF($A126="","",IF(Q126="","",ROUND(Q126,0)))</f>
        <v/>
      </c>
      <c r="X126" s="8">
        <f>IF($A126="","",IF(U126="","",IF(U126="极高","每年必审",IF(U126="高","每年审计",IF(U126="中","两年一轮","按需抽查")))))</f>
        <v/>
      </c>
      <c r="Y126" s="24">
        <f>IF($A126="","",IF(OR(Q126="",Q126=0),"",(Q126-T126)/Q126))</f>
        <v/>
      </c>
    </row>
    <row r="127">
      <c r="P127" s="23">
        <f>IF($A127="","",IF(COUNT(H127:O127)=0,"",ROUND(MAX(SUMPRODUCT(H127:O127,IFERROR(VLOOKUP($C127,参数配置!$A$26:$I$38,{2,3,4,5,6,7,8,9},FALSE),VLOOKUP(参数配置!$A$26,参数配置!$A$26:$I$38,{2,3,4,5,6,7,8,9},FALSE)))/SUMPRODUCT(IFERROR(VLOOKUP($C127,参数配置!$A$26:$I$38,{2,3,4,5,6,7,8,9},FALSE),VLOOKUP(参数配置!$A$26,参数配置!$A$26:$I$38,{2,3,4,5,6,7,8,9},FALSE)),--(H127:O127&lt;&gt;"")),参数配置!$E$13*MAX(H127:O127)),2)))</f>
        <v/>
      </c>
      <c r="Q127" s="23">
        <f>IF($A127="","",IF(P127="","",ROUND(G127*P127,2)))</f>
        <v/>
      </c>
      <c r="R127" s="8">
        <f>IF($A127="","",IF(COUNTIFS(控制措施表!$B:$B,$A127,控制措施表!$C:$C,$F127,控制措施表!$F:$F,"是")=0,IF(COUNTIFS(控制措施表!$B:$B,$A127,控制措施表!$C:$C,$F127)=0,"",MINIFS(控制措施表!$E:$E,控制措施表!$B:$B,$A127,控制措施表!$C:$C,$F127)),MINIFS(控制措施表!$E:$E,控制措施表!$B:$B,$A127,控制措施表!$C:$C,$F127,控制措施表!$F:$F,"是")))</f>
        <v/>
      </c>
      <c r="S127" s="24">
        <f>IF($A127="","",IF(R127="",0,VLOOKUP(R127,参数配置!$D$4:$E$8,2,FALSE)))</f>
        <v/>
      </c>
      <c r="T127" s="23">
        <f>IF($A127="","",IF(Q127="","",ROUND(Q127*(1-S127),2)))</f>
        <v/>
      </c>
      <c r="U127" s="8">
        <f>IF($A127="","",IF(T127="","",IF(T127&gt;=参数配置!$B$14,"极高",IF(T127&gt;=参数配置!$B$15,"高",IF(T127&gt;=参数配置!$B$16,"中",IF(T127&gt;=参数配置!$B$17,"低","极低"))))))</f>
        <v/>
      </c>
      <c r="V127" s="8">
        <f>IF($A127="","",IF(P127="","",ROUND(P127,0)))</f>
        <v/>
      </c>
      <c r="W127" s="8">
        <f>IF($A127="","",IF(Q127="","",ROUND(Q127,0)))</f>
        <v/>
      </c>
      <c r="X127" s="8">
        <f>IF($A127="","",IF(U127="","",IF(U127="极高","每年必审",IF(U127="高","每年审计",IF(U127="中","两年一轮","按需抽查")))))</f>
        <v/>
      </c>
      <c r="Y127" s="24">
        <f>IF($A127="","",IF(OR(Q127="",Q127=0),"",(Q127-T127)/Q127))</f>
        <v/>
      </c>
    </row>
    <row r="128">
      <c r="P128" s="23">
        <f>IF($A128="","",IF(COUNT(H128:O128)=0,"",ROUND(MAX(SUMPRODUCT(H128:O128,IFERROR(VLOOKUP($C128,参数配置!$A$26:$I$38,{2,3,4,5,6,7,8,9},FALSE),VLOOKUP(参数配置!$A$26,参数配置!$A$26:$I$38,{2,3,4,5,6,7,8,9},FALSE)))/SUMPRODUCT(IFERROR(VLOOKUP($C128,参数配置!$A$26:$I$38,{2,3,4,5,6,7,8,9},FALSE),VLOOKUP(参数配置!$A$26,参数配置!$A$26:$I$38,{2,3,4,5,6,7,8,9},FALSE)),--(H128:O128&lt;&gt;"")),参数配置!$E$13*MAX(H128:O128)),2)))</f>
        <v/>
      </c>
      <c r="Q128" s="23">
        <f>IF($A128="","",IF(P128="","",ROUND(G128*P128,2)))</f>
        <v/>
      </c>
      <c r="R128" s="8">
        <f>IF($A128="","",IF(COUNTIFS(控制措施表!$B:$B,$A128,控制措施表!$C:$C,$F128,控制措施表!$F:$F,"是")=0,IF(COUNTIFS(控制措施表!$B:$B,$A128,控制措施表!$C:$C,$F128)=0,"",MINIFS(控制措施表!$E:$E,控制措施表!$B:$B,$A128,控制措施表!$C:$C,$F128)),MINIFS(控制措施表!$E:$E,控制措施表!$B:$B,$A128,控制措施表!$C:$C,$F128,控制措施表!$F:$F,"是")))</f>
        <v/>
      </c>
      <c r="S128" s="24">
        <f>IF($A128="","",IF(R128="",0,VLOOKUP(R128,参数配置!$D$4:$E$8,2,FALSE)))</f>
        <v/>
      </c>
      <c r="T128" s="23">
        <f>IF($A128="","",IF(Q128="","",ROUND(Q128*(1-S128),2)))</f>
        <v/>
      </c>
      <c r="U128" s="8">
        <f>IF($A128="","",IF(T128="","",IF(T128&gt;=参数配置!$B$14,"极高",IF(T128&gt;=参数配置!$B$15,"高",IF(T128&gt;=参数配置!$B$16,"中",IF(T128&gt;=参数配置!$B$17,"低","极低"))))))</f>
        <v/>
      </c>
      <c r="V128" s="8">
        <f>IF($A128="","",IF(P128="","",ROUND(P128,0)))</f>
        <v/>
      </c>
      <c r="W128" s="8">
        <f>IF($A128="","",IF(Q128="","",ROUND(Q128,0)))</f>
        <v/>
      </c>
      <c r="X128" s="8">
        <f>IF($A128="","",IF(U128="","",IF(U128="极高","每年必审",IF(U128="高","每年审计",IF(U128="中","两年一轮","按需抽查")))))</f>
        <v/>
      </c>
      <c r="Y128" s="24">
        <f>IF($A128="","",IF(OR(Q128="",Q128=0),"",(Q128-T128)/Q128))</f>
        <v/>
      </c>
    </row>
    <row r="129">
      <c r="P129" s="23">
        <f>IF($A129="","",IF(COUNT(H129:O129)=0,"",ROUND(MAX(SUMPRODUCT(H129:O129,IFERROR(VLOOKUP($C129,参数配置!$A$26:$I$38,{2,3,4,5,6,7,8,9},FALSE),VLOOKUP(参数配置!$A$26,参数配置!$A$26:$I$38,{2,3,4,5,6,7,8,9},FALSE)))/SUMPRODUCT(IFERROR(VLOOKUP($C129,参数配置!$A$26:$I$38,{2,3,4,5,6,7,8,9},FALSE),VLOOKUP(参数配置!$A$26,参数配置!$A$26:$I$38,{2,3,4,5,6,7,8,9},FALSE)),--(H129:O129&lt;&gt;"")),参数配置!$E$13*MAX(H129:O129)),2)))</f>
        <v/>
      </c>
      <c r="Q129" s="23">
        <f>IF($A129="","",IF(P129="","",ROUND(G129*P129,2)))</f>
        <v/>
      </c>
      <c r="R129" s="8">
        <f>IF($A129="","",IF(COUNTIFS(控制措施表!$B:$B,$A129,控制措施表!$C:$C,$F129,控制措施表!$F:$F,"是")=0,IF(COUNTIFS(控制措施表!$B:$B,$A129,控制措施表!$C:$C,$F129)=0,"",MINIFS(控制措施表!$E:$E,控制措施表!$B:$B,$A129,控制措施表!$C:$C,$F129)),MINIFS(控制措施表!$E:$E,控制措施表!$B:$B,$A129,控制措施表!$C:$C,$F129,控制措施表!$F:$F,"是")))</f>
        <v/>
      </c>
      <c r="S129" s="24">
        <f>IF($A129="","",IF(R129="",0,VLOOKUP(R129,参数配置!$D$4:$E$8,2,FALSE)))</f>
        <v/>
      </c>
      <c r="T129" s="23">
        <f>IF($A129="","",IF(Q129="","",ROUND(Q129*(1-S129),2)))</f>
        <v/>
      </c>
      <c r="U129" s="8">
        <f>IF($A129="","",IF(T129="","",IF(T129&gt;=参数配置!$B$14,"极高",IF(T129&gt;=参数配置!$B$15,"高",IF(T129&gt;=参数配置!$B$16,"中",IF(T129&gt;=参数配置!$B$17,"低","极低"))))))</f>
        <v/>
      </c>
      <c r="V129" s="8">
        <f>IF($A129="","",IF(P129="","",ROUND(P129,0)))</f>
        <v/>
      </c>
      <c r="W129" s="8">
        <f>IF($A129="","",IF(Q129="","",ROUND(Q129,0)))</f>
        <v/>
      </c>
      <c r="X129" s="8">
        <f>IF($A129="","",IF(U129="","",IF(U129="极高","每年必审",IF(U129="高","每年审计",IF(U129="中","两年一轮","按需抽查")))))</f>
        <v/>
      </c>
      <c r="Y129" s="24">
        <f>IF($A129="","",IF(OR(Q129="",Q129=0),"",(Q129-T129)/Q129))</f>
        <v/>
      </c>
    </row>
    <row r="130">
      <c r="P130" s="23">
        <f>IF($A130="","",IF(COUNT(H130:O130)=0,"",ROUND(MAX(SUMPRODUCT(H130:O130,IFERROR(VLOOKUP($C130,参数配置!$A$26:$I$38,{2,3,4,5,6,7,8,9},FALSE),VLOOKUP(参数配置!$A$26,参数配置!$A$26:$I$38,{2,3,4,5,6,7,8,9},FALSE)))/SUMPRODUCT(IFERROR(VLOOKUP($C130,参数配置!$A$26:$I$38,{2,3,4,5,6,7,8,9},FALSE),VLOOKUP(参数配置!$A$26,参数配置!$A$26:$I$38,{2,3,4,5,6,7,8,9},FALSE)),--(H130:O130&lt;&gt;"")),参数配置!$E$13*MAX(H130:O130)),2)))</f>
        <v/>
      </c>
      <c r="Q130" s="23">
        <f>IF($A130="","",IF(P130="","",ROUND(G130*P130,2)))</f>
        <v/>
      </c>
      <c r="R130" s="8">
        <f>IF($A130="","",IF(COUNTIFS(控制措施表!$B:$B,$A130,控制措施表!$C:$C,$F130,控制措施表!$F:$F,"是")=0,IF(COUNTIFS(控制措施表!$B:$B,$A130,控制措施表!$C:$C,$F130)=0,"",MINIFS(控制措施表!$E:$E,控制措施表!$B:$B,$A130,控制措施表!$C:$C,$F130)),MINIFS(控制措施表!$E:$E,控制措施表!$B:$B,$A130,控制措施表!$C:$C,$F130,控制措施表!$F:$F,"是")))</f>
        <v/>
      </c>
      <c r="S130" s="24">
        <f>IF($A130="","",IF(R130="",0,VLOOKUP(R130,参数配置!$D$4:$E$8,2,FALSE)))</f>
        <v/>
      </c>
      <c r="T130" s="23">
        <f>IF($A130="","",IF(Q130="","",ROUND(Q130*(1-S130),2)))</f>
        <v/>
      </c>
      <c r="U130" s="8">
        <f>IF($A130="","",IF(T130="","",IF(T130&gt;=参数配置!$B$14,"极高",IF(T130&gt;=参数配置!$B$15,"高",IF(T130&gt;=参数配置!$B$16,"中",IF(T130&gt;=参数配置!$B$17,"低","极低"))))))</f>
        <v/>
      </c>
      <c r="V130" s="8">
        <f>IF($A130="","",IF(P130="","",ROUND(P130,0)))</f>
        <v/>
      </c>
      <c r="W130" s="8">
        <f>IF($A130="","",IF(Q130="","",ROUND(Q130,0)))</f>
        <v/>
      </c>
      <c r="X130" s="8">
        <f>IF($A130="","",IF(U130="","",IF(U130="极高","每年必审",IF(U130="高","每年审计",IF(U130="中","两年一轮","按需抽查")))))</f>
        <v/>
      </c>
      <c r="Y130" s="24">
        <f>IF($A130="","",IF(OR(Q130="",Q130=0),"",(Q130-T130)/Q130))</f>
        <v/>
      </c>
    </row>
    <row r="131">
      <c r="P131" s="23">
        <f>IF($A131="","",IF(COUNT(H131:O131)=0,"",ROUND(MAX(SUMPRODUCT(H131:O131,IFERROR(VLOOKUP($C131,参数配置!$A$26:$I$38,{2,3,4,5,6,7,8,9},FALSE),VLOOKUP(参数配置!$A$26,参数配置!$A$26:$I$38,{2,3,4,5,6,7,8,9},FALSE)))/SUMPRODUCT(IFERROR(VLOOKUP($C131,参数配置!$A$26:$I$38,{2,3,4,5,6,7,8,9},FALSE),VLOOKUP(参数配置!$A$26,参数配置!$A$26:$I$38,{2,3,4,5,6,7,8,9},FALSE)),--(H131:O131&lt;&gt;"")),参数配置!$E$13*MAX(H131:O131)),2)))</f>
        <v/>
      </c>
      <c r="Q131" s="23">
        <f>IF($A131="","",IF(P131="","",ROUND(G131*P131,2)))</f>
        <v/>
      </c>
      <c r="R131" s="8">
        <f>IF($A131="","",IF(COUNTIFS(控制措施表!$B:$B,$A131,控制措施表!$C:$C,$F131,控制措施表!$F:$F,"是")=0,IF(COUNTIFS(控制措施表!$B:$B,$A131,控制措施表!$C:$C,$F131)=0,"",MINIFS(控制措施表!$E:$E,控制措施表!$B:$B,$A131,控制措施表!$C:$C,$F131)),MINIFS(控制措施表!$E:$E,控制措施表!$B:$B,$A131,控制措施表!$C:$C,$F131,控制措施表!$F:$F,"是")))</f>
        <v/>
      </c>
      <c r="S131" s="24">
        <f>IF($A131="","",IF(R131="",0,VLOOKUP(R131,参数配置!$D$4:$E$8,2,FALSE)))</f>
        <v/>
      </c>
      <c r="T131" s="23">
        <f>IF($A131="","",IF(Q131="","",ROUND(Q131*(1-S131),2)))</f>
        <v/>
      </c>
      <c r="U131" s="8">
        <f>IF($A131="","",IF(T131="","",IF(T131&gt;=参数配置!$B$14,"极高",IF(T131&gt;=参数配置!$B$15,"高",IF(T131&gt;=参数配置!$B$16,"中",IF(T131&gt;=参数配置!$B$17,"低","极低"))))))</f>
        <v/>
      </c>
      <c r="V131" s="8">
        <f>IF($A131="","",IF(P131="","",ROUND(P131,0)))</f>
        <v/>
      </c>
      <c r="W131" s="8">
        <f>IF($A131="","",IF(Q131="","",ROUND(Q131,0)))</f>
        <v/>
      </c>
      <c r="X131" s="8">
        <f>IF($A131="","",IF(U131="","",IF(U131="极高","每年必审",IF(U131="高","每年审计",IF(U131="中","两年一轮","按需抽查")))))</f>
        <v/>
      </c>
      <c r="Y131" s="24">
        <f>IF($A131="","",IF(OR(Q131="",Q131=0),"",(Q131-T131)/Q131))</f>
        <v/>
      </c>
    </row>
    <row r="132">
      <c r="P132" s="23">
        <f>IF($A132="","",IF(COUNT(H132:O132)=0,"",ROUND(MAX(SUMPRODUCT(H132:O132,IFERROR(VLOOKUP($C132,参数配置!$A$26:$I$38,{2,3,4,5,6,7,8,9},FALSE),VLOOKUP(参数配置!$A$26,参数配置!$A$26:$I$38,{2,3,4,5,6,7,8,9},FALSE)))/SUMPRODUCT(IFERROR(VLOOKUP($C132,参数配置!$A$26:$I$38,{2,3,4,5,6,7,8,9},FALSE),VLOOKUP(参数配置!$A$26,参数配置!$A$26:$I$38,{2,3,4,5,6,7,8,9},FALSE)),--(H132:O132&lt;&gt;"")),参数配置!$E$13*MAX(H132:O132)),2)))</f>
        <v/>
      </c>
      <c r="Q132" s="23">
        <f>IF($A132="","",IF(P132="","",ROUND(G132*P132,2)))</f>
        <v/>
      </c>
      <c r="R132" s="8">
        <f>IF($A132="","",IF(COUNTIFS(控制措施表!$B:$B,$A132,控制措施表!$C:$C,$F132,控制措施表!$F:$F,"是")=0,IF(COUNTIFS(控制措施表!$B:$B,$A132,控制措施表!$C:$C,$F132)=0,"",MINIFS(控制措施表!$E:$E,控制措施表!$B:$B,$A132,控制措施表!$C:$C,$F132)),MINIFS(控制措施表!$E:$E,控制措施表!$B:$B,$A132,控制措施表!$C:$C,$F132,控制措施表!$F:$F,"是")))</f>
        <v/>
      </c>
      <c r="S132" s="24">
        <f>IF($A132="","",IF(R132="",0,VLOOKUP(R132,参数配置!$D$4:$E$8,2,FALSE)))</f>
        <v/>
      </c>
      <c r="T132" s="23">
        <f>IF($A132="","",IF(Q132="","",ROUND(Q132*(1-S132),2)))</f>
        <v/>
      </c>
      <c r="U132" s="8">
        <f>IF($A132="","",IF(T132="","",IF(T132&gt;=参数配置!$B$14,"极高",IF(T132&gt;=参数配置!$B$15,"高",IF(T132&gt;=参数配置!$B$16,"中",IF(T132&gt;=参数配置!$B$17,"低","极低"))))))</f>
        <v/>
      </c>
      <c r="V132" s="8">
        <f>IF($A132="","",IF(P132="","",ROUND(P132,0)))</f>
        <v/>
      </c>
      <c r="W132" s="8">
        <f>IF($A132="","",IF(Q132="","",ROUND(Q132,0)))</f>
        <v/>
      </c>
      <c r="X132" s="8">
        <f>IF($A132="","",IF(U132="","",IF(U132="极高","每年必审",IF(U132="高","每年审计",IF(U132="中","两年一轮","按需抽查")))))</f>
        <v/>
      </c>
      <c r="Y132" s="24">
        <f>IF($A132="","",IF(OR(Q132="",Q132=0),"",(Q132-T132)/Q132))</f>
        <v/>
      </c>
    </row>
    <row r="133">
      <c r="P133" s="23">
        <f>IF($A133="","",IF(COUNT(H133:O133)=0,"",ROUND(MAX(SUMPRODUCT(H133:O133,IFERROR(VLOOKUP($C133,参数配置!$A$26:$I$38,{2,3,4,5,6,7,8,9},FALSE),VLOOKUP(参数配置!$A$26,参数配置!$A$26:$I$38,{2,3,4,5,6,7,8,9},FALSE)))/SUMPRODUCT(IFERROR(VLOOKUP($C133,参数配置!$A$26:$I$38,{2,3,4,5,6,7,8,9},FALSE),VLOOKUP(参数配置!$A$26,参数配置!$A$26:$I$38,{2,3,4,5,6,7,8,9},FALSE)),--(H133:O133&lt;&gt;"")),参数配置!$E$13*MAX(H133:O133)),2)))</f>
        <v/>
      </c>
      <c r="Q133" s="23">
        <f>IF($A133="","",IF(P133="","",ROUND(G133*P133,2)))</f>
        <v/>
      </c>
      <c r="R133" s="8">
        <f>IF($A133="","",IF(COUNTIFS(控制措施表!$B:$B,$A133,控制措施表!$C:$C,$F133,控制措施表!$F:$F,"是")=0,IF(COUNTIFS(控制措施表!$B:$B,$A133,控制措施表!$C:$C,$F133)=0,"",MINIFS(控制措施表!$E:$E,控制措施表!$B:$B,$A133,控制措施表!$C:$C,$F133)),MINIFS(控制措施表!$E:$E,控制措施表!$B:$B,$A133,控制措施表!$C:$C,$F133,控制措施表!$F:$F,"是")))</f>
        <v/>
      </c>
      <c r="S133" s="24">
        <f>IF($A133="","",IF(R133="",0,VLOOKUP(R133,参数配置!$D$4:$E$8,2,FALSE)))</f>
        <v/>
      </c>
      <c r="T133" s="23">
        <f>IF($A133="","",IF(Q133="","",ROUND(Q133*(1-S133),2)))</f>
        <v/>
      </c>
      <c r="U133" s="8">
        <f>IF($A133="","",IF(T133="","",IF(T133&gt;=参数配置!$B$14,"极高",IF(T133&gt;=参数配置!$B$15,"高",IF(T133&gt;=参数配置!$B$16,"中",IF(T133&gt;=参数配置!$B$17,"低","极低"))))))</f>
        <v/>
      </c>
      <c r="V133" s="8">
        <f>IF($A133="","",IF(P133="","",ROUND(P133,0)))</f>
        <v/>
      </c>
      <c r="W133" s="8">
        <f>IF($A133="","",IF(Q133="","",ROUND(Q133,0)))</f>
        <v/>
      </c>
      <c r="X133" s="8">
        <f>IF($A133="","",IF(U133="","",IF(U133="极高","每年必审",IF(U133="高","每年审计",IF(U133="中","两年一轮","按需抽查")))))</f>
        <v/>
      </c>
      <c r="Y133" s="24">
        <f>IF($A133="","",IF(OR(Q133="",Q133=0),"",(Q133-T133)/Q133))</f>
        <v/>
      </c>
    </row>
    <row r="134">
      <c r="P134" s="23">
        <f>IF($A134="","",IF(COUNT(H134:O134)=0,"",ROUND(MAX(SUMPRODUCT(H134:O134,IFERROR(VLOOKUP($C134,参数配置!$A$26:$I$38,{2,3,4,5,6,7,8,9},FALSE),VLOOKUP(参数配置!$A$26,参数配置!$A$26:$I$38,{2,3,4,5,6,7,8,9},FALSE)))/SUMPRODUCT(IFERROR(VLOOKUP($C134,参数配置!$A$26:$I$38,{2,3,4,5,6,7,8,9},FALSE),VLOOKUP(参数配置!$A$26,参数配置!$A$26:$I$38,{2,3,4,5,6,7,8,9},FALSE)),--(H134:O134&lt;&gt;"")),参数配置!$E$13*MAX(H134:O134)),2)))</f>
        <v/>
      </c>
      <c r="Q134" s="23">
        <f>IF($A134="","",IF(P134="","",ROUND(G134*P134,2)))</f>
        <v/>
      </c>
      <c r="R134" s="8">
        <f>IF($A134="","",IF(COUNTIFS(控制措施表!$B:$B,$A134,控制措施表!$C:$C,$F134,控制措施表!$F:$F,"是")=0,IF(COUNTIFS(控制措施表!$B:$B,$A134,控制措施表!$C:$C,$F134)=0,"",MINIFS(控制措施表!$E:$E,控制措施表!$B:$B,$A134,控制措施表!$C:$C,$F134)),MINIFS(控制措施表!$E:$E,控制措施表!$B:$B,$A134,控制措施表!$C:$C,$F134,控制措施表!$F:$F,"是")))</f>
        <v/>
      </c>
      <c r="S134" s="24">
        <f>IF($A134="","",IF(R134="",0,VLOOKUP(R134,参数配置!$D$4:$E$8,2,FALSE)))</f>
        <v/>
      </c>
      <c r="T134" s="23">
        <f>IF($A134="","",IF(Q134="","",ROUND(Q134*(1-S134),2)))</f>
        <v/>
      </c>
      <c r="U134" s="8">
        <f>IF($A134="","",IF(T134="","",IF(T134&gt;=参数配置!$B$14,"极高",IF(T134&gt;=参数配置!$B$15,"高",IF(T134&gt;=参数配置!$B$16,"中",IF(T134&gt;=参数配置!$B$17,"低","极低"))))))</f>
        <v/>
      </c>
      <c r="V134" s="8">
        <f>IF($A134="","",IF(P134="","",ROUND(P134,0)))</f>
        <v/>
      </c>
      <c r="W134" s="8">
        <f>IF($A134="","",IF(Q134="","",ROUND(Q134,0)))</f>
        <v/>
      </c>
      <c r="X134" s="8">
        <f>IF($A134="","",IF(U134="","",IF(U134="极高","每年必审",IF(U134="高","每年审计",IF(U134="中","两年一轮","按需抽查")))))</f>
        <v/>
      </c>
      <c r="Y134" s="24">
        <f>IF($A134="","",IF(OR(Q134="",Q134=0),"",(Q134-T134)/Q134))</f>
        <v/>
      </c>
    </row>
    <row r="135">
      <c r="P135" s="23">
        <f>IF($A135="","",IF(COUNT(H135:O135)=0,"",ROUND(MAX(SUMPRODUCT(H135:O135,IFERROR(VLOOKUP($C135,参数配置!$A$26:$I$38,{2,3,4,5,6,7,8,9},FALSE),VLOOKUP(参数配置!$A$26,参数配置!$A$26:$I$38,{2,3,4,5,6,7,8,9},FALSE)))/SUMPRODUCT(IFERROR(VLOOKUP($C135,参数配置!$A$26:$I$38,{2,3,4,5,6,7,8,9},FALSE),VLOOKUP(参数配置!$A$26,参数配置!$A$26:$I$38,{2,3,4,5,6,7,8,9},FALSE)),--(H135:O135&lt;&gt;"")),参数配置!$E$13*MAX(H135:O135)),2)))</f>
        <v/>
      </c>
      <c r="Q135" s="23">
        <f>IF($A135="","",IF(P135="","",ROUND(G135*P135,2)))</f>
        <v/>
      </c>
      <c r="R135" s="8">
        <f>IF($A135="","",IF(COUNTIFS(控制措施表!$B:$B,$A135,控制措施表!$C:$C,$F135,控制措施表!$F:$F,"是")=0,IF(COUNTIFS(控制措施表!$B:$B,$A135,控制措施表!$C:$C,$F135)=0,"",MINIFS(控制措施表!$E:$E,控制措施表!$B:$B,$A135,控制措施表!$C:$C,$F135)),MINIFS(控制措施表!$E:$E,控制措施表!$B:$B,$A135,控制措施表!$C:$C,$F135,控制措施表!$F:$F,"是")))</f>
        <v/>
      </c>
      <c r="S135" s="24">
        <f>IF($A135="","",IF(R135="",0,VLOOKUP(R135,参数配置!$D$4:$E$8,2,FALSE)))</f>
        <v/>
      </c>
      <c r="T135" s="23">
        <f>IF($A135="","",IF(Q135="","",ROUND(Q135*(1-S135),2)))</f>
        <v/>
      </c>
      <c r="U135" s="8">
        <f>IF($A135="","",IF(T135="","",IF(T135&gt;=参数配置!$B$14,"极高",IF(T135&gt;=参数配置!$B$15,"高",IF(T135&gt;=参数配置!$B$16,"中",IF(T135&gt;=参数配置!$B$17,"低","极低"))))))</f>
        <v/>
      </c>
      <c r="V135" s="8">
        <f>IF($A135="","",IF(P135="","",ROUND(P135,0)))</f>
        <v/>
      </c>
      <c r="W135" s="8">
        <f>IF($A135="","",IF(Q135="","",ROUND(Q135,0)))</f>
        <v/>
      </c>
      <c r="X135" s="8">
        <f>IF($A135="","",IF(U135="","",IF(U135="极高","每年必审",IF(U135="高","每年审计",IF(U135="中","两年一轮","按需抽查")))))</f>
        <v/>
      </c>
      <c r="Y135" s="24">
        <f>IF($A135="","",IF(OR(Q135="",Q135=0),"",(Q135-T135)/Q135))</f>
        <v/>
      </c>
    </row>
    <row r="136">
      <c r="P136" s="23">
        <f>IF($A136="","",IF(COUNT(H136:O136)=0,"",ROUND(MAX(SUMPRODUCT(H136:O136,IFERROR(VLOOKUP($C136,参数配置!$A$26:$I$38,{2,3,4,5,6,7,8,9},FALSE),VLOOKUP(参数配置!$A$26,参数配置!$A$26:$I$38,{2,3,4,5,6,7,8,9},FALSE)))/SUMPRODUCT(IFERROR(VLOOKUP($C136,参数配置!$A$26:$I$38,{2,3,4,5,6,7,8,9},FALSE),VLOOKUP(参数配置!$A$26,参数配置!$A$26:$I$38,{2,3,4,5,6,7,8,9},FALSE)),--(H136:O136&lt;&gt;"")),参数配置!$E$13*MAX(H136:O136)),2)))</f>
        <v/>
      </c>
      <c r="Q136" s="23">
        <f>IF($A136="","",IF(P136="","",ROUND(G136*P136,2)))</f>
        <v/>
      </c>
      <c r="R136" s="8">
        <f>IF($A136="","",IF(COUNTIFS(控制措施表!$B:$B,$A136,控制措施表!$C:$C,$F136,控制措施表!$F:$F,"是")=0,IF(COUNTIFS(控制措施表!$B:$B,$A136,控制措施表!$C:$C,$F136)=0,"",MINIFS(控制措施表!$E:$E,控制措施表!$B:$B,$A136,控制措施表!$C:$C,$F136)),MINIFS(控制措施表!$E:$E,控制措施表!$B:$B,$A136,控制措施表!$C:$C,$F136,控制措施表!$F:$F,"是")))</f>
        <v/>
      </c>
      <c r="S136" s="24">
        <f>IF($A136="","",IF(R136="",0,VLOOKUP(R136,参数配置!$D$4:$E$8,2,FALSE)))</f>
        <v/>
      </c>
      <c r="T136" s="23">
        <f>IF($A136="","",IF(Q136="","",ROUND(Q136*(1-S136),2)))</f>
        <v/>
      </c>
      <c r="U136" s="8">
        <f>IF($A136="","",IF(T136="","",IF(T136&gt;=参数配置!$B$14,"极高",IF(T136&gt;=参数配置!$B$15,"高",IF(T136&gt;=参数配置!$B$16,"中",IF(T136&gt;=参数配置!$B$17,"低","极低"))))))</f>
        <v/>
      </c>
      <c r="V136" s="8">
        <f>IF($A136="","",IF(P136="","",ROUND(P136,0)))</f>
        <v/>
      </c>
      <c r="W136" s="8">
        <f>IF($A136="","",IF(Q136="","",ROUND(Q136,0)))</f>
        <v/>
      </c>
      <c r="X136" s="8">
        <f>IF($A136="","",IF(U136="","",IF(U136="极高","每年必审",IF(U136="高","每年审计",IF(U136="中","两年一轮","按需抽查")))))</f>
        <v/>
      </c>
      <c r="Y136" s="24">
        <f>IF($A136="","",IF(OR(Q136="",Q136=0),"",(Q136-T136)/Q136))</f>
        <v/>
      </c>
    </row>
    <row r="137">
      <c r="P137" s="23">
        <f>IF($A137="","",IF(COUNT(H137:O137)=0,"",ROUND(MAX(SUMPRODUCT(H137:O137,IFERROR(VLOOKUP($C137,参数配置!$A$26:$I$38,{2,3,4,5,6,7,8,9},FALSE),VLOOKUP(参数配置!$A$26,参数配置!$A$26:$I$38,{2,3,4,5,6,7,8,9},FALSE)))/SUMPRODUCT(IFERROR(VLOOKUP($C137,参数配置!$A$26:$I$38,{2,3,4,5,6,7,8,9},FALSE),VLOOKUP(参数配置!$A$26,参数配置!$A$26:$I$38,{2,3,4,5,6,7,8,9},FALSE)),--(H137:O137&lt;&gt;"")),参数配置!$E$13*MAX(H137:O137)),2)))</f>
        <v/>
      </c>
      <c r="Q137" s="23">
        <f>IF($A137="","",IF(P137="","",ROUND(G137*P137,2)))</f>
        <v/>
      </c>
      <c r="R137" s="8">
        <f>IF($A137="","",IF(COUNTIFS(控制措施表!$B:$B,$A137,控制措施表!$C:$C,$F137,控制措施表!$F:$F,"是")=0,IF(COUNTIFS(控制措施表!$B:$B,$A137,控制措施表!$C:$C,$F137)=0,"",MINIFS(控制措施表!$E:$E,控制措施表!$B:$B,$A137,控制措施表!$C:$C,$F137)),MINIFS(控制措施表!$E:$E,控制措施表!$B:$B,$A137,控制措施表!$C:$C,$F137,控制措施表!$F:$F,"是")))</f>
        <v/>
      </c>
      <c r="S137" s="24">
        <f>IF($A137="","",IF(R137="",0,VLOOKUP(R137,参数配置!$D$4:$E$8,2,FALSE)))</f>
        <v/>
      </c>
      <c r="T137" s="23">
        <f>IF($A137="","",IF(Q137="","",ROUND(Q137*(1-S137),2)))</f>
        <v/>
      </c>
      <c r="U137" s="8">
        <f>IF($A137="","",IF(T137="","",IF(T137&gt;=参数配置!$B$14,"极高",IF(T137&gt;=参数配置!$B$15,"高",IF(T137&gt;=参数配置!$B$16,"中",IF(T137&gt;=参数配置!$B$17,"低","极低"))))))</f>
        <v/>
      </c>
      <c r="V137" s="8">
        <f>IF($A137="","",IF(P137="","",ROUND(P137,0)))</f>
        <v/>
      </c>
      <c r="W137" s="8">
        <f>IF($A137="","",IF(Q137="","",ROUND(Q137,0)))</f>
        <v/>
      </c>
      <c r="X137" s="8">
        <f>IF($A137="","",IF(U137="","",IF(U137="极高","每年必审",IF(U137="高","每年审计",IF(U137="中","两年一轮","按需抽查")))))</f>
        <v/>
      </c>
      <c r="Y137" s="24">
        <f>IF($A137="","",IF(OR(Q137="",Q137=0),"",(Q137-T137)/Q137))</f>
        <v/>
      </c>
    </row>
    <row r="138">
      <c r="P138" s="23">
        <f>IF($A138="","",IF(COUNT(H138:O138)=0,"",ROUND(MAX(SUMPRODUCT(H138:O138,IFERROR(VLOOKUP($C138,参数配置!$A$26:$I$38,{2,3,4,5,6,7,8,9},FALSE),VLOOKUP(参数配置!$A$26,参数配置!$A$26:$I$38,{2,3,4,5,6,7,8,9},FALSE)))/SUMPRODUCT(IFERROR(VLOOKUP($C138,参数配置!$A$26:$I$38,{2,3,4,5,6,7,8,9},FALSE),VLOOKUP(参数配置!$A$26,参数配置!$A$26:$I$38,{2,3,4,5,6,7,8,9},FALSE)),--(H138:O138&lt;&gt;"")),参数配置!$E$13*MAX(H138:O138)),2)))</f>
        <v/>
      </c>
      <c r="Q138" s="23">
        <f>IF($A138="","",IF(P138="","",ROUND(G138*P138,2)))</f>
        <v/>
      </c>
      <c r="R138" s="8">
        <f>IF($A138="","",IF(COUNTIFS(控制措施表!$B:$B,$A138,控制措施表!$C:$C,$F138,控制措施表!$F:$F,"是")=0,IF(COUNTIFS(控制措施表!$B:$B,$A138,控制措施表!$C:$C,$F138)=0,"",MINIFS(控制措施表!$E:$E,控制措施表!$B:$B,$A138,控制措施表!$C:$C,$F138)),MINIFS(控制措施表!$E:$E,控制措施表!$B:$B,$A138,控制措施表!$C:$C,$F138,控制措施表!$F:$F,"是")))</f>
        <v/>
      </c>
      <c r="S138" s="24">
        <f>IF($A138="","",IF(R138="",0,VLOOKUP(R138,参数配置!$D$4:$E$8,2,FALSE)))</f>
        <v/>
      </c>
      <c r="T138" s="23">
        <f>IF($A138="","",IF(Q138="","",ROUND(Q138*(1-S138),2)))</f>
        <v/>
      </c>
      <c r="U138" s="8">
        <f>IF($A138="","",IF(T138="","",IF(T138&gt;=参数配置!$B$14,"极高",IF(T138&gt;=参数配置!$B$15,"高",IF(T138&gt;=参数配置!$B$16,"中",IF(T138&gt;=参数配置!$B$17,"低","极低"))))))</f>
        <v/>
      </c>
      <c r="V138" s="8">
        <f>IF($A138="","",IF(P138="","",ROUND(P138,0)))</f>
        <v/>
      </c>
      <c r="W138" s="8">
        <f>IF($A138="","",IF(Q138="","",ROUND(Q138,0)))</f>
        <v/>
      </c>
      <c r="X138" s="8">
        <f>IF($A138="","",IF(U138="","",IF(U138="极高","每年必审",IF(U138="高","每年审计",IF(U138="中","两年一轮","按需抽查")))))</f>
        <v/>
      </c>
      <c r="Y138" s="24">
        <f>IF($A138="","",IF(OR(Q138="",Q138=0),"",(Q138-T138)/Q138))</f>
        <v/>
      </c>
    </row>
    <row r="139">
      <c r="P139" s="23">
        <f>IF($A139="","",IF(COUNT(H139:O139)=0,"",ROUND(MAX(SUMPRODUCT(H139:O139,IFERROR(VLOOKUP($C139,参数配置!$A$26:$I$38,{2,3,4,5,6,7,8,9},FALSE),VLOOKUP(参数配置!$A$26,参数配置!$A$26:$I$38,{2,3,4,5,6,7,8,9},FALSE)))/SUMPRODUCT(IFERROR(VLOOKUP($C139,参数配置!$A$26:$I$38,{2,3,4,5,6,7,8,9},FALSE),VLOOKUP(参数配置!$A$26,参数配置!$A$26:$I$38,{2,3,4,5,6,7,8,9},FALSE)),--(H139:O139&lt;&gt;"")),参数配置!$E$13*MAX(H139:O139)),2)))</f>
        <v/>
      </c>
      <c r="Q139" s="23">
        <f>IF($A139="","",IF(P139="","",ROUND(G139*P139,2)))</f>
        <v/>
      </c>
      <c r="R139" s="8">
        <f>IF($A139="","",IF(COUNTIFS(控制措施表!$B:$B,$A139,控制措施表!$C:$C,$F139,控制措施表!$F:$F,"是")=0,IF(COUNTIFS(控制措施表!$B:$B,$A139,控制措施表!$C:$C,$F139)=0,"",MINIFS(控制措施表!$E:$E,控制措施表!$B:$B,$A139,控制措施表!$C:$C,$F139)),MINIFS(控制措施表!$E:$E,控制措施表!$B:$B,$A139,控制措施表!$C:$C,$F139,控制措施表!$F:$F,"是")))</f>
        <v/>
      </c>
      <c r="S139" s="24">
        <f>IF($A139="","",IF(R139="",0,VLOOKUP(R139,参数配置!$D$4:$E$8,2,FALSE)))</f>
        <v/>
      </c>
      <c r="T139" s="23">
        <f>IF($A139="","",IF(Q139="","",ROUND(Q139*(1-S139),2)))</f>
        <v/>
      </c>
      <c r="U139" s="8">
        <f>IF($A139="","",IF(T139="","",IF(T139&gt;=参数配置!$B$14,"极高",IF(T139&gt;=参数配置!$B$15,"高",IF(T139&gt;=参数配置!$B$16,"中",IF(T139&gt;=参数配置!$B$17,"低","极低"))))))</f>
        <v/>
      </c>
      <c r="V139" s="8">
        <f>IF($A139="","",IF(P139="","",ROUND(P139,0)))</f>
        <v/>
      </c>
      <c r="W139" s="8">
        <f>IF($A139="","",IF(Q139="","",ROUND(Q139,0)))</f>
        <v/>
      </c>
      <c r="X139" s="8">
        <f>IF($A139="","",IF(U139="","",IF(U139="极高","每年必审",IF(U139="高","每年审计",IF(U139="中","两年一轮","按需抽查")))))</f>
        <v/>
      </c>
      <c r="Y139" s="24">
        <f>IF($A139="","",IF(OR(Q139="",Q139=0),"",(Q139-T139)/Q139))</f>
        <v/>
      </c>
    </row>
    <row r="140">
      <c r="P140" s="23">
        <f>IF($A140="","",IF(COUNT(H140:O140)=0,"",ROUND(MAX(SUMPRODUCT(H140:O140,IFERROR(VLOOKUP($C140,参数配置!$A$26:$I$38,{2,3,4,5,6,7,8,9},FALSE),VLOOKUP(参数配置!$A$26,参数配置!$A$26:$I$38,{2,3,4,5,6,7,8,9},FALSE)))/SUMPRODUCT(IFERROR(VLOOKUP($C140,参数配置!$A$26:$I$38,{2,3,4,5,6,7,8,9},FALSE),VLOOKUP(参数配置!$A$26,参数配置!$A$26:$I$38,{2,3,4,5,6,7,8,9},FALSE)),--(H140:O140&lt;&gt;"")),参数配置!$E$13*MAX(H140:O140)),2)))</f>
        <v/>
      </c>
      <c r="Q140" s="23">
        <f>IF($A140="","",IF(P140="","",ROUND(G140*P140,2)))</f>
        <v/>
      </c>
      <c r="R140" s="8">
        <f>IF($A140="","",IF(COUNTIFS(控制措施表!$B:$B,$A140,控制措施表!$C:$C,$F140,控制措施表!$F:$F,"是")=0,IF(COUNTIFS(控制措施表!$B:$B,$A140,控制措施表!$C:$C,$F140)=0,"",MINIFS(控制措施表!$E:$E,控制措施表!$B:$B,$A140,控制措施表!$C:$C,$F140)),MINIFS(控制措施表!$E:$E,控制措施表!$B:$B,$A140,控制措施表!$C:$C,$F140,控制措施表!$F:$F,"是")))</f>
        <v/>
      </c>
      <c r="S140" s="24">
        <f>IF($A140="","",IF(R140="",0,VLOOKUP(R140,参数配置!$D$4:$E$8,2,FALSE)))</f>
        <v/>
      </c>
      <c r="T140" s="23">
        <f>IF($A140="","",IF(Q140="","",ROUND(Q140*(1-S140),2)))</f>
        <v/>
      </c>
      <c r="U140" s="8">
        <f>IF($A140="","",IF(T140="","",IF(T140&gt;=参数配置!$B$14,"极高",IF(T140&gt;=参数配置!$B$15,"高",IF(T140&gt;=参数配置!$B$16,"中",IF(T140&gt;=参数配置!$B$17,"低","极低"))))))</f>
        <v/>
      </c>
      <c r="V140" s="8">
        <f>IF($A140="","",IF(P140="","",ROUND(P140,0)))</f>
        <v/>
      </c>
      <c r="W140" s="8">
        <f>IF($A140="","",IF(Q140="","",ROUND(Q140,0)))</f>
        <v/>
      </c>
      <c r="X140" s="8">
        <f>IF($A140="","",IF(U140="","",IF(U140="极高","每年必审",IF(U140="高","每年审计",IF(U140="中","两年一轮","按需抽查")))))</f>
        <v/>
      </c>
      <c r="Y140" s="24">
        <f>IF($A140="","",IF(OR(Q140="",Q140=0),"",(Q140-T140)/Q140))</f>
        <v/>
      </c>
    </row>
    <row r="141">
      <c r="P141" s="23">
        <f>IF($A141="","",IF(COUNT(H141:O141)=0,"",ROUND(MAX(SUMPRODUCT(H141:O141,IFERROR(VLOOKUP($C141,参数配置!$A$26:$I$38,{2,3,4,5,6,7,8,9},FALSE),VLOOKUP(参数配置!$A$26,参数配置!$A$26:$I$38,{2,3,4,5,6,7,8,9},FALSE)))/SUMPRODUCT(IFERROR(VLOOKUP($C141,参数配置!$A$26:$I$38,{2,3,4,5,6,7,8,9},FALSE),VLOOKUP(参数配置!$A$26,参数配置!$A$26:$I$38,{2,3,4,5,6,7,8,9},FALSE)),--(H141:O141&lt;&gt;"")),参数配置!$E$13*MAX(H141:O141)),2)))</f>
        <v/>
      </c>
      <c r="Q141" s="23">
        <f>IF($A141="","",IF(P141="","",ROUND(G141*P141,2)))</f>
        <v/>
      </c>
      <c r="R141" s="8">
        <f>IF($A141="","",IF(COUNTIFS(控制措施表!$B:$B,$A141,控制措施表!$C:$C,$F141,控制措施表!$F:$F,"是")=0,IF(COUNTIFS(控制措施表!$B:$B,$A141,控制措施表!$C:$C,$F141)=0,"",MINIFS(控制措施表!$E:$E,控制措施表!$B:$B,$A141,控制措施表!$C:$C,$F141)),MINIFS(控制措施表!$E:$E,控制措施表!$B:$B,$A141,控制措施表!$C:$C,$F141,控制措施表!$F:$F,"是")))</f>
        <v/>
      </c>
      <c r="S141" s="24">
        <f>IF($A141="","",IF(R141="",0,VLOOKUP(R141,参数配置!$D$4:$E$8,2,FALSE)))</f>
        <v/>
      </c>
      <c r="T141" s="23">
        <f>IF($A141="","",IF(Q141="","",ROUND(Q141*(1-S141),2)))</f>
        <v/>
      </c>
      <c r="U141" s="8">
        <f>IF($A141="","",IF(T141="","",IF(T141&gt;=参数配置!$B$14,"极高",IF(T141&gt;=参数配置!$B$15,"高",IF(T141&gt;=参数配置!$B$16,"中",IF(T141&gt;=参数配置!$B$17,"低","极低"))))))</f>
        <v/>
      </c>
      <c r="V141" s="8">
        <f>IF($A141="","",IF(P141="","",ROUND(P141,0)))</f>
        <v/>
      </c>
      <c r="W141" s="8">
        <f>IF($A141="","",IF(Q141="","",ROUND(Q141,0)))</f>
        <v/>
      </c>
      <c r="X141" s="8">
        <f>IF($A141="","",IF(U141="","",IF(U141="极高","每年必审",IF(U141="高","每年审计",IF(U141="中","两年一轮","按需抽查")))))</f>
        <v/>
      </c>
      <c r="Y141" s="24">
        <f>IF($A141="","",IF(OR(Q141="",Q141=0),"",(Q141-T141)/Q141))</f>
        <v/>
      </c>
    </row>
    <row r="142">
      <c r="P142" s="23">
        <f>IF($A142="","",IF(COUNT(H142:O142)=0,"",ROUND(MAX(SUMPRODUCT(H142:O142,IFERROR(VLOOKUP($C142,参数配置!$A$26:$I$38,{2,3,4,5,6,7,8,9},FALSE),VLOOKUP(参数配置!$A$26,参数配置!$A$26:$I$38,{2,3,4,5,6,7,8,9},FALSE)))/SUMPRODUCT(IFERROR(VLOOKUP($C142,参数配置!$A$26:$I$38,{2,3,4,5,6,7,8,9},FALSE),VLOOKUP(参数配置!$A$26,参数配置!$A$26:$I$38,{2,3,4,5,6,7,8,9},FALSE)),--(H142:O142&lt;&gt;"")),参数配置!$E$13*MAX(H142:O142)),2)))</f>
        <v/>
      </c>
      <c r="Q142" s="23">
        <f>IF($A142="","",IF(P142="","",ROUND(G142*P142,2)))</f>
        <v/>
      </c>
      <c r="R142" s="8">
        <f>IF($A142="","",IF(COUNTIFS(控制措施表!$B:$B,$A142,控制措施表!$C:$C,$F142,控制措施表!$F:$F,"是")=0,IF(COUNTIFS(控制措施表!$B:$B,$A142,控制措施表!$C:$C,$F142)=0,"",MINIFS(控制措施表!$E:$E,控制措施表!$B:$B,$A142,控制措施表!$C:$C,$F142)),MINIFS(控制措施表!$E:$E,控制措施表!$B:$B,$A142,控制措施表!$C:$C,$F142,控制措施表!$F:$F,"是")))</f>
        <v/>
      </c>
      <c r="S142" s="24">
        <f>IF($A142="","",IF(R142="",0,VLOOKUP(R142,参数配置!$D$4:$E$8,2,FALSE)))</f>
        <v/>
      </c>
      <c r="T142" s="23">
        <f>IF($A142="","",IF(Q142="","",ROUND(Q142*(1-S142),2)))</f>
        <v/>
      </c>
      <c r="U142" s="8">
        <f>IF($A142="","",IF(T142="","",IF(T142&gt;=参数配置!$B$14,"极高",IF(T142&gt;=参数配置!$B$15,"高",IF(T142&gt;=参数配置!$B$16,"中",IF(T142&gt;=参数配置!$B$17,"低","极低"))))))</f>
        <v/>
      </c>
      <c r="V142" s="8">
        <f>IF($A142="","",IF(P142="","",ROUND(P142,0)))</f>
        <v/>
      </c>
      <c r="W142" s="8">
        <f>IF($A142="","",IF(Q142="","",ROUND(Q142,0)))</f>
        <v/>
      </c>
      <c r="X142" s="8">
        <f>IF($A142="","",IF(U142="","",IF(U142="极高","每年必审",IF(U142="高","每年审计",IF(U142="中","两年一轮","按需抽查")))))</f>
        <v/>
      </c>
      <c r="Y142" s="24">
        <f>IF($A142="","",IF(OR(Q142="",Q142=0),"",(Q142-T142)/Q142))</f>
        <v/>
      </c>
    </row>
    <row r="143">
      <c r="P143" s="23">
        <f>IF($A143="","",IF(COUNT(H143:O143)=0,"",ROUND(MAX(SUMPRODUCT(H143:O143,IFERROR(VLOOKUP($C143,参数配置!$A$26:$I$38,{2,3,4,5,6,7,8,9},FALSE),VLOOKUP(参数配置!$A$26,参数配置!$A$26:$I$38,{2,3,4,5,6,7,8,9},FALSE)))/SUMPRODUCT(IFERROR(VLOOKUP($C143,参数配置!$A$26:$I$38,{2,3,4,5,6,7,8,9},FALSE),VLOOKUP(参数配置!$A$26,参数配置!$A$26:$I$38,{2,3,4,5,6,7,8,9},FALSE)),--(H143:O143&lt;&gt;"")),参数配置!$E$13*MAX(H143:O143)),2)))</f>
        <v/>
      </c>
      <c r="Q143" s="23">
        <f>IF($A143="","",IF(P143="","",ROUND(G143*P143,2)))</f>
        <v/>
      </c>
      <c r="R143" s="8">
        <f>IF($A143="","",IF(COUNTIFS(控制措施表!$B:$B,$A143,控制措施表!$C:$C,$F143,控制措施表!$F:$F,"是")=0,IF(COUNTIFS(控制措施表!$B:$B,$A143,控制措施表!$C:$C,$F143)=0,"",MINIFS(控制措施表!$E:$E,控制措施表!$B:$B,$A143,控制措施表!$C:$C,$F143)),MINIFS(控制措施表!$E:$E,控制措施表!$B:$B,$A143,控制措施表!$C:$C,$F143,控制措施表!$F:$F,"是")))</f>
        <v/>
      </c>
      <c r="S143" s="24">
        <f>IF($A143="","",IF(R143="",0,VLOOKUP(R143,参数配置!$D$4:$E$8,2,FALSE)))</f>
        <v/>
      </c>
      <c r="T143" s="23">
        <f>IF($A143="","",IF(Q143="","",ROUND(Q143*(1-S143),2)))</f>
        <v/>
      </c>
      <c r="U143" s="8">
        <f>IF($A143="","",IF(T143="","",IF(T143&gt;=参数配置!$B$14,"极高",IF(T143&gt;=参数配置!$B$15,"高",IF(T143&gt;=参数配置!$B$16,"中",IF(T143&gt;=参数配置!$B$17,"低","极低"))))))</f>
        <v/>
      </c>
      <c r="V143" s="8">
        <f>IF($A143="","",IF(P143="","",ROUND(P143,0)))</f>
        <v/>
      </c>
      <c r="W143" s="8">
        <f>IF($A143="","",IF(Q143="","",ROUND(Q143,0)))</f>
        <v/>
      </c>
      <c r="X143" s="8">
        <f>IF($A143="","",IF(U143="","",IF(U143="极高","每年必审",IF(U143="高","每年审计",IF(U143="中","两年一轮","按需抽查")))))</f>
        <v/>
      </c>
      <c r="Y143" s="24">
        <f>IF($A143="","",IF(OR(Q143="",Q143=0),"",(Q143-T143)/Q143))</f>
        <v/>
      </c>
    </row>
    <row r="144">
      <c r="P144" s="23">
        <f>IF($A144="","",IF(COUNT(H144:O144)=0,"",ROUND(MAX(SUMPRODUCT(H144:O144,IFERROR(VLOOKUP($C144,参数配置!$A$26:$I$38,{2,3,4,5,6,7,8,9},FALSE),VLOOKUP(参数配置!$A$26,参数配置!$A$26:$I$38,{2,3,4,5,6,7,8,9},FALSE)))/SUMPRODUCT(IFERROR(VLOOKUP($C144,参数配置!$A$26:$I$38,{2,3,4,5,6,7,8,9},FALSE),VLOOKUP(参数配置!$A$26,参数配置!$A$26:$I$38,{2,3,4,5,6,7,8,9},FALSE)),--(H144:O144&lt;&gt;"")),参数配置!$E$13*MAX(H144:O144)),2)))</f>
        <v/>
      </c>
      <c r="Q144" s="23">
        <f>IF($A144="","",IF(P144="","",ROUND(G144*P144,2)))</f>
        <v/>
      </c>
      <c r="R144" s="8">
        <f>IF($A144="","",IF(COUNTIFS(控制措施表!$B:$B,$A144,控制措施表!$C:$C,$F144,控制措施表!$F:$F,"是")=0,IF(COUNTIFS(控制措施表!$B:$B,$A144,控制措施表!$C:$C,$F144)=0,"",MINIFS(控制措施表!$E:$E,控制措施表!$B:$B,$A144,控制措施表!$C:$C,$F144)),MINIFS(控制措施表!$E:$E,控制措施表!$B:$B,$A144,控制措施表!$C:$C,$F144,控制措施表!$F:$F,"是")))</f>
        <v/>
      </c>
      <c r="S144" s="24">
        <f>IF($A144="","",IF(R144="",0,VLOOKUP(R144,参数配置!$D$4:$E$8,2,FALSE)))</f>
        <v/>
      </c>
      <c r="T144" s="23">
        <f>IF($A144="","",IF(Q144="","",ROUND(Q144*(1-S144),2)))</f>
        <v/>
      </c>
      <c r="U144" s="8">
        <f>IF($A144="","",IF(T144="","",IF(T144&gt;=参数配置!$B$14,"极高",IF(T144&gt;=参数配置!$B$15,"高",IF(T144&gt;=参数配置!$B$16,"中",IF(T144&gt;=参数配置!$B$17,"低","极低"))))))</f>
        <v/>
      </c>
      <c r="V144" s="8">
        <f>IF($A144="","",IF(P144="","",ROUND(P144,0)))</f>
        <v/>
      </c>
      <c r="W144" s="8">
        <f>IF($A144="","",IF(Q144="","",ROUND(Q144,0)))</f>
        <v/>
      </c>
      <c r="X144" s="8">
        <f>IF($A144="","",IF(U144="","",IF(U144="极高","每年必审",IF(U144="高","每年审计",IF(U144="中","两年一轮","按需抽查")))))</f>
        <v/>
      </c>
      <c r="Y144" s="24">
        <f>IF($A144="","",IF(OR(Q144="",Q144=0),"",(Q144-T144)/Q144))</f>
        <v/>
      </c>
    </row>
    <row r="145">
      <c r="P145" s="23">
        <f>IF($A145="","",IF(COUNT(H145:O145)=0,"",ROUND(MAX(SUMPRODUCT(H145:O145,IFERROR(VLOOKUP($C145,参数配置!$A$26:$I$38,{2,3,4,5,6,7,8,9},FALSE),VLOOKUP(参数配置!$A$26,参数配置!$A$26:$I$38,{2,3,4,5,6,7,8,9},FALSE)))/SUMPRODUCT(IFERROR(VLOOKUP($C145,参数配置!$A$26:$I$38,{2,3,4,5,6,7,8,9},FALSE),VLOOKUP(参数配置!$A$26,参数配置!$A$26:$I$38,{2,3,4,5,6,7,8,9},FALSE)),--(H145:O145&lt;&gt;"")),参数配置!$E$13*MAX(H145:O145)),2)))</f>
        <v/>
      </c>
      <c r="Q145" s="23">
        <f>IF($A145="","",IF(P145="","",ROUND(G145*P145,2)))</f>
        <v/>
      </c>
      <c r="R145" s="8">
        <f>IF($A145="","",IF(COUNTIFS(控制措施表!$B:$B,$A145,控制措施表!$C:$C,$F145,控制措施表!$F:$F,"是")=0,IF(COUNTIFS(控制措施表!$B:$B,$A145,控制措施表!$C:$C,$F145)=0,"",MINIFS(控制措施表!$E:$E,控制措施表!$B:$B,$A145,控制措施表!$C:$C,$F145)),MINIFS(控制措施表!$E:$E,控制措施表!$B:$B,$A145,控制措施表!$C:$C,$F145,控制措施表!$F:$F,"是")))</f>
        <v/>
      </c>
      <c r="S145" s="24">
        <f>IF($A145="","",IF(R145="",0,VLOOKUP(R145,参数配置!$D$4:$E$8,2,FALSE)))</f>
        <v/>
      </c>
      <c r="T145" s="23">
        <f>IF($A145="","",IF(Q145="","",ROUND(Q145*(1-S145),2)))</f>
        <v/>
      </c>
      <c r="U145" s="8">
        <f>IF($A145="","",IF(T145="","",IF(T145&gt;=参数配置!$B$14,"极高",IF(T145&gt;=参数配置!$B$15,"高",IF(T145&gt;=参数配置!$B$16,"中",IF(T145&gt;=参数配置!$B$17,"低","极低"))))))</f>
        <v/>
      </c>
      <c r="V145" s="8">
        <f>IF($A145="","",IF(P145="","",ROUND(P145,0)))</f>
        <v/>
      </c>
      <c r="W145" s="8">
        <f>IF($A145="","",IF(Q145="","",ROUND(Q145,0)))</f>
        <v/>
      </c>
      <c r="X145" s="8">
        <f>IF($A145="","",IF(U145="","",IF(U145="极高","每年必审",IF(U145="高","每年审计",IF(U145="中","两年一轮","按需抽查")))))</f>
        <v/>
      </c>
      <c r="Y145" s="24">
        <f>IF($A145="","",IF(OR(Q145="",Q145=0),"",(Q145-T145)/Q145))</f>
        <v/>
      </c>
    </row>
    <row r="146">
      <c r="P146" s="23">
        <f>IF($A146="","",IF(COUNT(H146:O146)=0,"",ROUND(MAX(SUMPRODUCT(H146:O146,IFERROR(VLOOKUP($C146,参数配置!$A$26:$I$38,{2,3,4,5,6,7,8,9},FALSE),VLOOKUP(参数配置!$A$26,参数配置!$A$26:$I$38,{2,3,4,5,6,7,8,9},FALSE)))/SUMPRODUCT(IFERROR(VLOOKUP($C146,参数配置!$A$26:$I$38,{2,3,4,5,6,7,8,9},FALSE),VLOOKUP(参数配置!$A$26,参数配置!$A$26:$I$38,{2,3,4,5,6,7,8,9},FALSE)),--(H146:O146&lt;&gt;"")),参数配置!$E$13*MAX(H146:O146)),2)))</f>
        <v/>
      </c>
      <c r="Q146" s="23">
        <f>IF($A146="","",IF(P146="","",ROUND(G146*P146,2)))</f>
        <v/>
      </c>
      <c r="R146" s="8">
        <f>IF($A146="","",IF(COUNTIFS(控制措施表!$B:$B,$A146,控制措施表!$C:$C,$F146,控制措施表!$F:$F,"是")=0,IF(COUNTIFS(控制措施表!$B:$B,$A146,控制措施表!$C:$C,$F146)=0,"",MINIFS(控制措施表!$E:$E,控制措施表!$B:$B,$A146,控制措施表!$C:$C,$F146)),MINIFS(控制措施表!$E:$E,控制措施表!$B:$B,$A146,控制措施表!$C:$C,$F146,控制措施表!$F:$F,"是")))</f>
        <v/>
      </c>
      <c r="S146" s="24">
        <f>IF($A146="","",IF(R146="",0,VLOOKUP(R146,参数配置!$D$4:$E$8,2,FALSE)))</f>
        <v/>
      </c>
      <c r="T146" s="23">
        <f>IF($A146="","",IF(Q146="","",ROUND(Q146*(1-S146),2)))</f>
        <v/>
      </c>
      <c r="U146" s="8">
        <f>IF($A146="","",IF(T146="","",IF(T146&gt;=参数配置!$B$14,"极高",IF(T146&gt;=参数配置!$B$15,"高",IF(T146&gt;=参数配置!$B$16,"中",IF(T146&gt;=参数配置!$B$17,"低","极低"))))))</f>
        <v/>
      </c>
      <c r="V146" s="8">
        <f>IF($A146="","",IF(P146="","",ROUND(P146,0)))</f>
        <v/>
      </c>
      <c r="W146" s="8">
        <f>IF($A146="","",IF(Q146="","",ROUND(Q146,0)))</f>
        <v/>
      </c>
      <c r="X146" s="8">
        <f>IF($A146="","",IF(U146="","",IF(U146="极高","每年必审",IF(U146="高","每年审计",IF(U146="中","两年一轮","按需抽查")))))</f>
        <v/>
      </c>
      <c r="Y146" s="24">
        <f>IF($A146="","",IF(OR(Q146="",Q146=0),"",(Q146-T146)/Q146))</f>
        <v/>
      </c>
    </row>
    <row r="147">
      <c r="P147" s="23">
        <f>IF($A147="","",IF(COUNT(H147:O147)=0,"",ROUND(MAX(SUMPRODUCT(H147:O147,IFERROR(VLOOKUP($C147,参数配置!$A$26:$I$38,{2,3,4,5,6,7,8,9},FALSE),VLOOKUP(参数配置!$A$26,参数配置!$A$26:$I$38,{2,3,4,5,6,7,8,9},FALSE)))/SUMPRODUCT(IFERROR(VLOOKUP($C147,参数配置!$A$26:$I$38,{2,3,4,5,6,7,8,9},FALSE),VLOOKUP(参数配置!$A$26,参数配置!$A$26:$I$38,{2,3,4,5,6,7,8,9},FALSE)),--(H147:O147&lt;&gt;"")),参数配置!$E$13*MAX(H147:O147)),2)))</f>
        <v/>
      </c>
      <c r="Q147" s="23">
        <f>IF($A147="","",IF(P147="","",ROUND(G147*P147,2)))</f>
        <v/>
      </c>
      <c r="R147" s="8">
        <f>IF($A147="","",IF(COUNTIFS(控制措施表!$B:$B,$A147,控制措施表!$C:$C,$F147,控制措施表!$F:$F,"是")=0,IF(COUNTIFS(控制措施表!$B:$B,$A147,控制措施表!$C:$C,$F147)=0,"",MINIFS(控制措施表!$E:$E,控制措施表!$B:$B,$A147,控制措施表!$C:$C,$F147)),MINIFS(控制措施表!$E:$E,控制措施表!$B:$B,$A147,控制措施表!$C:$C,$F147,控制措施表!$F:$F,"是")))</f>
        <v/>
      </c>
      <c r="S147" s="24">
        <f>IF($A147="","",IF(R147="",0,VLOOKUP(R147,参数配置!$D$4:$E$8,2,FALSE)))</f>
        <v/>
      </c>
      <c r="T147" s="23">
        <f>IF($A147="","",IF(Q147="","",ROUND(Q147*(1-S147),2)))</f>
        <v/>
      </c>
      <c r="U147" s="8">
        <f>IF($A147="","",IF(T147="","",IF(T147&gt;=参数配置!$B$14,"极高",IF(T147&gt;=参数配置!$B$15,"高",IF(T147&gt;=参数配置!$B$16,"中",IF(T147&gt;=参数配置!$B$17,"低","极低"))))))</f>
        <v/>
      </c>
      <c r="V147" s="8">
        <f>IF($A147="","",IF(P147="","",ROUND(P147,0)))</f>
        <v/>
      </c>
      <c r="W147" s="8">
        <f>IF($A147="","",IF(Q147="","",ROUND(Q147,0)))</f>
        <v/>
      </c>
      <c r="X147" s="8">
        <f>IF($A147="","",IF(U147="","",IF(U147="极高","每年必审",IF(U147="高","每年审计",IF(U147="中","两年一轮","按需抽查")))))</f>
        <v/>
      </c>
      <c r="Y147" s="24">
        <f>IF($A147="","",IF(OR(Q147="",Q147=0),"",(Q147-T147)/Q147))</f>
        <v/>
      </c>
    </row>
    <row r="148">
      <c r="P148" s="23">
        <f>IF($A148="","",IF(COUNT(H148:O148)=0,"",ROUND(MAX(SUMPRODUCT(H148:O148,IFERROR(VLOOKUP($C148,参数配置!$A$26:$I$38,{2,3,4,5,6,7,8,9},FALSE),VLOOKUP(参数配置!$A$26,参数配置!$A$26:$I$38,{2,3,4,5,6,7,8,9},FALSE)))/SUMPRODUCT(IFERROR(VLOOKUP($C148,参数配置!$A$26:$I$38,{2,3,4,5,6,7,8,9},FALSE),VLOOKUP(参数配置!$A$26,参数配置!$A$26:$I$38,{2,3,4,5,6,7,8,9},FALSE)),--(H148:O148&lt;&gt;"")),参数配置!$E$13*MAX(H148:O148)),2)))</f>
        <v/>
      </c>
      <c r="Q148" s="23">
        <f>IF($A148="","",IF(P148="","",ROUND(G148*P148,2)))</f>
        <v/>
      </c>
      <c r="R148" s="8">
        <f>IF($A148="","",IF(COUNTIFS(控制措施表!$B:$B,$A148,控制措施表!$C:$C,$F148,控制措施表!$F:$F,"是")=0,IF(COUNTIFS(控制措施表!$B:$B,$A148,控制措施表!$C:$C,$F148)=0,"",MINIFS(控制措施表!$E:$E,控制措施表!$B:$B,$A148,控制措施表!$C:$C,$F148)),MINIFS(控制措施表!$E:$E,控制措施表!$B:$B,$A148,控制措施表!$C:$C,$F148,控制措施表!$F:$F,"是")))</f>
        <v/>
      </c>
      <c r="S148" s="24">
        <f>IF($A148="","",IF(R148="",0,VLOOKUP(R148,参数配置!$D$4:$E$8,2,FALSE)))</f>
        <v/>
      </c>
      <c r="T148" s="23">
        <f>IF($A148="","",IF(Q148="","",ROUND(Q148*(1-S148),2)))</f>
        <v/>
      </c>
      <c r="U148" s="8">
        <f>IF($A148="","",IF(T148="","",IF(T148&gt;=参数配置!$B$14,"极高",IF(T148&gt;=参数配置!$B$15,"高",IF(T148&gt;=参数配置!$B$16,"中",IF(T148&gt;=参数配置!$B$17,"低","极低"))))))</f>
        <v/>
      </c>
      <c r="V148" s="8">
        <f>IF($A148="","",IF(P148="","",ROUND(P148,0)))</f>
        <v/>
      </c>
      <c r="W148" s="8">
        <f>IF($A148="","",IF(Q148="","",ROUND(Q148,0)))</f>
        <v/>
      </c>
      <c r="X148" s="8">
        <f>IF($A148="","",IF(U148="","",IF(U148="极高","每年必审",IF(U148="高","每年审计",IF(U148="中","两年一轮","按需抽查")))))</f>
        <v/>
      </c>
      <c r="Y148" s="24">
        <f>IF($A148="","",IF(OR(Q148="",Q148=0),"",(Q148-T148)/Q148))</f>
        <v/>
      </c>
    </row>
    <row r="149">
      <c r="P149" s="23">
        <f>IF($A149="","",IF(COUNT(H149:O149)=0,"",ROUND(MAX(SUMPRODUCT(H149:O149,IFERROR(VLOOKUP($C149,参数配置!$A$26:$I$38,{2,3,4,5,6,7,8,9},FALSE),VLOOKUP(参数配置!$A$26,参数配置!$A$26:$I$38,{2,3,4,5,6,7,8,9},FALSE)))/SUMPRODUCT(IFERROR(VLOOKUP($C149,参数配置!$A$26:$I$38,{2,3,4,5,6,7,8,9},FALSE),VLOOKUP(参数配置!$A$26,参数配置!$A$26:$I$38,{2,3,4,5,6,7,8,9},FALSE)),--(H149:O149&lt;&gt;"")),参数配置!$E$13*MAX(H149:O149)),2)))</f>
        <v/>
      </c>
      <c r="Q149" s="23">
        <f>IF($A149="","",IF(P149="","",ROUND(G149*P149,2)))</f>
        <v/>
      </c>
      <c r="R149" s="8">
        <f>IF($A149="","",IF(COUNTIFS(控制措施表!$B:$B,$A149,控制措施表!$C:$C,$F149,控制措施表!$F:$F,"是")=0,IF(COUNTIFS(控制措施表!$B:$B,$A149,控制措施表!$C:$C,$F149)=0,"",MINIFS(控制措施表!$E:$E,控制措施表!$B:$B,$A149,控制措施表!$C:$C,$F149)),MINIFS(控制措施表!$E:$E,控制措施表!$B:$B,$A149,控制措施表!$C:$C,$F149,控制措施表!$F:$F,"是")))</f>
        <v/>
      </c>
      <c r="S149" s="24">
        <f>IF($A149="","",IF(R149="",0,VLOOKUP(R149,参数配置!$D$4:$E$8,2,FALSE)))</f>
        <v/>
      </c>
      <c r="T149" s="23">
        <f>IF($A149="","",IF(Q149="","",ROUND(Q149*(1-S149),2)))</f>
        <v/>
      </c>
      <c r="U149" s="8">
        <f>IF($A149="","",IF(T149="","",IF(T149&gt;=参数配置!$B$14,"极高",IF(T149&gt;=参数配置!$B$15,"高",IF(T149&gt;=参数配置!$B$16,"中",IF(T149&gt;=参数配置!$B$17,"低","极低"))))))</f>
        <v/>
      </c>
      <c r="V149" s="8">
        <f>IF($A149="","",IF(P149="","",ROUND(P149,0)))</f>
        <v/>
      </c>
      <c r="W149" s="8">
        <f>IF($A149="","",IF(Q149="","",ROUND(Q149,0)))</f>
        <v/>
      </c>
      <c r="X149" s="8">
        <f>IF($A149="","",IF(U149="","",IF(U149="极高","每年必审",IF(U149="高","每年审计",IF(U149="中","两年一轮","按需抽查")))))</f>
        <v/>
      </c>
      <c r="Y149" s="24">
        <f>IF($A149="","",IF(OR(Q149="",Q149=0),"",(Q149-T149)/Q149))</f>
        <v/>
      </c>
    </row>
    <row r="150">
      <c r="P150" s="23">
        <f>IF($A150="","",IF(COUNT(H150:O150)=0,"",ROUND(MAX(SUMPRODUCT(H150:O150,IFERROR(VLOOKUP($C150,参数配置!$A$26:$I$38,{2,3,4,5,6,7,8,9},FALSE),VLOOKUP(参数配置!$A$26,参数配置!$A$26:$I$38,{2,3,4,5,6,7,8,9},FALSE)))/SUMPRODUCT(IFERROR(VLOOKUP($C150,参数配置!$A$26:$I$38,{2,3,4,5,6,7,8,9},FALSE),VLOOKUP(参数配置!$A$26,参数配置!$A$26:$I$38,{2,3,4,5,6,7,8,9},FALSE)),--(H150:O150&lt;&gt;"")),参数配置!$E$13*MAX(H150:O150)),2)))</f>
        <v/>
      </c>
      <c r="Q150" s="23">
        <f>IF($A150="","",IF(P150="","",ROUND(G150*P150,2)))</f>
        <v/>
      </c>
      <c r="R150" s="8">
        <f>IF($A150="","",IF(COUNTIFS(控制措施表!$B:$B,$A150,控制措施表!$C:$C,$F150,控制措施表!$F:$F,"是")=0,IF(COUNTIFS(控制措施表!$B:$B,$A150,控制措施表!$C:$C,$F150)=0,"",MINIFS(控制措施表!$E:$E,控制措施表!$B:$B,$A150,控制措施表!$C:$C,$F150)),MINIFS(控制措施表!$E:$E,控制措施表!$B:$B,$A150,控制措施表!$C:$C,$F150,控制措施表!$F:$F,"是")))</f>
        <v/>
      </c>
      <c r="S150" s="24">
        <f>IF($A150="","",IF(R150="",0,VLOOKUP(R150,参数配置!$D$4:$E$8,2,FALSE)))</f>
        <v/>
      </c>
      <c r="T150" s="23">
        <f>IF($A150="","",IF(Q150="","",ROUND(Q150*(1-S150),2)))</f>
        <v/>
      </c>
      <c r="U150" s="8">
        <f>IF($A150="","",IF(T150="","",IF(T150&gt;=参数配置!$B$14,"极高",IF(T150&gt;=参数配置!$B$15,"高",IF(T150&gt;=参数配置!$B$16,"中",IF(T150&gt;=参数配置!$B$17,"低","极低"))))))</f>
        <v/>
      </c>
      <c r="V150" s="8">
        <f>IF($A150="","",IF(P150="","",ROUND(P150,0)))</f>
        <v/>
      </c>
      <c r="W150" s="8">
        <f>IF($A150="","",IF(Q150="","",ROUND(Q150,0)))</f>
        <v/>
      </c>
      <c r="X150" s="8">
        <f>IF($A150="","",IF(U150="","",IF(U150="极高","每年必审",IF(U150="高","每年审计",IF(U150="中","两年一轮","按需抽查")))))</f>
        <v/>
      </c>
      <c r="Y150" s="24">
        <f>IF($A150="","",IF(OR(Q150="",Q150=0),"",(Q150-T150)/Q150))</f>
        <v/>
      </c>
    </row>
    <row r="151">
      <c r="P151" s="23">
        <f>IF($A151="","",IF(COUNT(H151:O151)=0,"",ROUND(MAX(SUMPRODUCT(H151:O151,IFERROR(VLOOKUP($C151,参数配置!$A$26:$I$38,{2,3,4,5,6,7,8,9},FALSE),VLOOKUP(参数配置!$A$26,参数配置!$A$26:$I$38,{2,3,4,5,6,7,8,9},FALSE)))/SUMPRODUCT(IFERROR(VLOOKUP($C151,参数配置!$A$26:$I$38,{2,3,4,5,6,7,8,9},FALSE),VLOOKUP(参数配置!$A$26,参数配置!$A$26:$I$38,{2,3,4,5,6,7,8,9},FALSE)),--(H151:O151&lt;&gt;"")),参数配置!$E$13*MAX(H151:O151)),2)))</f>
        <v/>
      </c>
      <c r="Q151" s="23">
        <f>IF($A151="","",IF(P151="","",ROUND(G151*P151,2)))</f>
        <v/>
      </c>
      <c r="R151" s="8">
        <f>IF($A151="","",IF(COUNTIFS(控制措施表!$B:$B,$A151,控制措施表!$C:$C,$F151,控制措施表!$F:$F,"是")=0,IF(COUNTIFS(控制措施表!$B:$B,$A151,控制措施表!$C:$C,$F151)=0,"",MINIFS(控制措施表!$E:$E,控制措施表!$B:$B,$A151,控制措施表!$C:$C,$F151)),MINIFS(控制措施表!$E:$E,控制措施表!$B:$B,$A151,控制措施表!$C:$C,$F151,控制措施表!$F:$F,"是")))</f>
        <v/>
      </c>
      <c r="S151" s="24">
        <f>IF($A151="","",IF(R151="",0,VLOOKUP(R151,参数配置!$D$4:$E$8,2,FALSE)))</f>
        <v/>
      </c>
      <c r="T151" s="23">
        <f>IF($A151="","",IF(Q151="","",ROUND(Q151*(1-S151),2)))</f>
        <v/>
      </c>
      <c r="U151" s="8">
        <f>IF($A151="","",IF(T151="","",IF(T151&gt;=参数配置!$B$14,"极高",IF(T151&gt;=参数配置!$B$15,"高",IF(T151&gt;=参数配置!$B$16,"中",IF(T151&gt;=参数配置!$B$17,"低","极低"))))))</f>
        <v/>
      </c>
      <c r="V151" s="8">
        <f>IF($A151="","",IF(P151="","",ROUND(P151,0)))</f>
        <v/>
      </c>
      <c r="W151" s="8">
        <f>IF($A151="","",IF(Q151="","",ROUND(Q151,0)))</f>
        <v/>
      </c>
      <c r="X151" s="8">
        <f>IF($A151="","",IF(U151="","",IF(U151="极高","每年必审",IF(U151="高","每年审计",IF(U151="中","两年一轮","按需抽查")))))</f>
        <v/>
      </c>
      <c r="Y151" s="24">
        <f>IF($A151="","",IF(OR(Q151="",Q151=0),"",(Q151-T151)/Q151))</f>
        <v/>
      </c>
    </row>
    <row r="152">
      <c r="P152" s="23">
        <f>IF($A152="","",IF(COUNT(H152:O152)=0,"",ROUND(MAX(SUMPRODUCT(H152:O152,IFERROR(VLOOKUP($C152,参数配置!$A$26:$I$38,{2,3,4,5,6,7,8,9},FALSE),VLOOKUP(参数配置!$A$26,参数配置!$A$26:$I$38,{2,3,4,5,6,7,8,9},FALSE)))/SUMPRODUCT(IFERROR(VLOOKUP($C152,参数配置!$A$26:$I$38,{2,3,4,5,6,7,8,9},FALSE),VLOOKUP(参数配置!$A$26,参数配置!$A$26:$I$38,{2,3,4,5,6,7,8,9},FALSE)),--(H152:O152&lt;&gt;"")),参数配置!$E$13*MAX(H152:O152)),2)))</f>
        <v/>
      </c>
      <c r="Q152" s="23">
        <f>IF($A152="","",IF(P152="","",ROUND(G152*P152,2)))</f>
        <v/>
      </c>
      <c r="R152" s="8">
        <f>IF($A152="","",IF(COUNTIFS(控制措施表!$B:$B,$A152,控制措施表!$C:$C,$F152,控制措施表!$F:$F,"是")=0,IF(COUNTIFS(控制措施表!$B:$B,$A152,控制措施表!$C:$C,$F152)=0,"",MINIFS(控制措施表!$E:$E,控制措施表!$B:$B,$A152,控制措施表!$C:$C,$F152)),MINIFS(控制措施表!$E:$E,控制措施表!$B:$B,$A152,控制措施表!$C:$C,$F152,控制措施表!$F:$F,"是")))</f>
        <v/>
      </c>
      <c r="S152" s="24">
        <f>IF($A152="","",IF(R152="",0,VLOOKUP(R152,参数配置!$D$4:$E$8,2,FALSE)))</f>
        <v/>
      </c>
      <c r="T152" s="23">
        <f>IF($A152="","",IF(Q152="","",ROUND(Q152*(1-S152),2)))</f>
        <v/>
      </c>
      <c r="U152" s="8">
        <f>IF($A152="","",IF(T152="","",IF(T152&gt;=参数配置!$B$14,"极高",IF(T152&gt;=参数配置!$B$15,"高",IF(T152&gt;=参数配置!$B$16,"中",IF(T152&gt;=参数配置!$B$17,"低","极低"))))))</f>
        <v/>
      </c>
      <c r="V152" s="8">
        <f>IF($A152="","",IF(P152="","",ROUND(P152,0)))</f>
        <v/>
      </c>
      <c r="W152" s="8">
        <f>IF($A152="","",IF(Q152="","",ROUND(Q152,0)))</f>
        <v/>
      </c>
      <c r="X152" s="8">
        <f>IF($A152="","",IF(U152="","",IF(U152="极高","每年必审",IF(U152="高","每年审计",IF(U152="中","两年一轮","按需抽查")))))</f>
        <v/>
      </c>
      <c r="Y152" s="24">
        <f>IF($A152="","",IF(OR(Q152="",Q152=0),"",(Q152-T152)/Q152))</f>
        <v/>
      </c>
    </row>
    <row r="153">
      <c r="P153" s="23">
        <f>IF($A153="","",IF(COUNT(H153:O153)=0,"",ROUND(MAX(SUMPRODUCT(H153:O153,IFERROR(VLOOKUP($C153,参数配置!$A$26:$I$38,{2,3,4,5,6,7,8,9},FALSE),VLOOKUP(参数配置!$A$26,参数配置!$A$26:$I$38,{2,3,4,5,6,7,8,9},FALSE)))/SUMPRODUCT(IFERROR(VLOOKUP($C153,参数配置!$A$26:$I$38,{2,3,4,5,6,7,8,9},FALSE),VLOOKUP(参数配置!$A$26,参数配置!$A$26:$I$38,{2,3,4,5,6,7,8,9},FALSE)),--(H153:O153&lt;&gt;"")),参数配置!$E$13*MAX(H153:O153)),2)))</f>
        <v/>
      </c>
      <c r="Q153" s="23">
        <f>IF($A153="","",IF(P153="","",ROUND(G153*P153,2)))</f>
        <v/>
      </c>
      <c r="R153" s="8">
        <f>IF($A153="","",IF(COUNTIFS(控制措施表!$B:$B,$A153,控制措施表!$C:$C,$F153,控制措施表!$F:$F,"是")=0,IF(COUNTIFS(控制措施表!$B:$B,$A153,控制措施表!$C:$C,$F153)=0,"",MINIFS(控制措施表!$E:$E,控制措施表!$B:$B,$A153,控制措施表!$C:$C,$F153)),MINIFS(控制措施表!$E:$E,控制措施表!$B:$B,$A153,控制措施表!$C:$C,$F153,控制措施表!$F:$F,"是")))</f>
        <v/>
      </c>
      <c r="S153" s="24">
        <f>IF($A153="","",IF(R153="",0,VLOOKUP(R153,参数配置!$D$4:$E$8,2,FALSE)))</f>
        <v/>
      </c>
      <c r="T153" s="23">
        <f>IF($A153="","",IF(Q153="","",ROUND(Q153*(1-S153),2)))</f>
        <v/>
      </c>
      <c r="U153" s="8">
        <f>IF($A153="","",IF(T153="","",IF(T153&gt;=参数配置!$B$14,"极高",IF(T153&gt;=参数配置!$B$15,"高",IF(T153&gt;=参数配置!$B$16,"中",IF(T153&gt;=参数配置!$B$17,"低","极低"))))))</f>
        <v/>
      </c>
      <c r="V153" s="8">
        <f>IF($A153="","",IF(P153="","",ROUND(P153,0)))</f>
        <v/>
      </c>
      <c r="W153" s="8">
        <f>IF($A153="","",IF(Q153="","",ROUND(Q153,0)))</f>
        <v/>
      </c>
      <c r="X153" s="8">
        <f>IF($A153="","",IF(U153="","",IF(U153="极高","每年必审",IF(U153="高","每年审计",IF(U153="中","两年一轮","按需抽查")))))</f>
        <v/>
      </c>
      <c r="Y153" s="24">
        <f>IF($A153="","",IF(OR(Q153="",Q153=0),"",(Q153-T153)/Q153))</f>
        <v/>
      </c>
    </row>
    <row r="154">
      <c r="P154" s="23">
        <f>IF($A154="","",IF(COUNT(H154:O154)=0,"",ROUND(MAX(SUMPRODUCT(H154:O154,IFERROR(VLOOKUP($C154,参数配置!$A$26:$I$38,{2,3,4,5,6,7,8,9},FALSE),VLOOKUP(参数配置!$A$26,参数配置!$A$26:$I$38,{2,3,4,5,6,7,8,9},FALSE)))/SUMPRODUCT(IFERROR(VLOOKUP($C154,参数配置!$A$26:$I$38,{2,3,4,5,6,7,8,9},FALSE),VLOOKUP(参数配置!$A$26,参数配置!$A$26:$I$38,{2,3,4,5,6,7,8,9},FALSE)),--(H154:O154&lt;&gt;"")),参数配置!$E$13*MAX(H154:O154)),2)))</f>
        <v/>
      </c>
      <c r="Q154" s="23">
        <f>IF($A154="","",IF(P154="","",ROUND(G154*P154,2)))</f>
        <v/>
      </c>
      <c r="R154" s="8">
        <f>IF($A154="","",IF(COUNTIFS(控制措施表!$B:$B,$A154,控制措施表!$C:$C,$F154,控制措施表!$F:$F,"是")=0,IF(COUNTIFS(控制措施表!$B:$B,$A154,控制措施表!$C:$C,$F154)=0,"",MINIFS(控制措施表!$E:$E,控制措施表!$B:$B,$A154,控制措施表!$C:$C,$F154)),MINIFS(控制措施表!$E:$E,控制措施表!$B:$B,$A154,控制措施表!$C:$C,$F154,控制措施表!$F:$F,"是")))</f>
        <v/>
      </c>
      <c r="S154" s="24">
        <f>IF($A154="","",IF(R154="",0,VLOOKUP(R154,参数配置!$D$4:$E$8,2,FALSE)))</f>
        <v/>
      </c>
      <c r="T154" s="23">
        <f>IF($A154="","",IF(Q154="","",ROUND(Q154*(1-S154),2)))</f>
        <v/>
      </c>
      <c r="U154" s="8">
        <f>IF($A154="","",IF(T154="","",IF(T154&gt;=参数配置!$B$14,"极高",IF(T154&gt;=参数配置!$B$15,"高",IF(T154&gt;=参数配置!$B$16,"中",IF(T154&gt;=参数配置!$B$17,"低","极低"))))))</f>
        <v/>
      </c>
      <c r="V154" s="8">
        <f>IF($A154="","",IF(P154="","",ROUND(P154,0)))</f>
        <v/>
      </c>
      <c r="W154" s="8">
        <f>IF($A154="","",IF(Q154="","",ROUND(Q154,0)))</f>
        <v/>
      </c>
      <c r="X154" s="8">
        <f>IF($A154="","",IF(U154="","",IF(U154="极高","每年必审",IF(U154="高","每年审计",IF(U154="中","两年一轮","按需抽查")))))</f>
        <v/>
      </c>
      <c r="Y154" s="24">
        <f>IF($A154="","",IF(OR(Q154="",Q154=0),"",(Q154-T154)/Q154))</f>
        <v/>
      </c>
    </row>
    <row r="155">
      <c r="P155" s="23">
        <f>IF($A155="","",IF(COUNT(H155:O155)=0,"",ROUND(MAX(SUMPRODUCT(H155:O155,IFERROR(VLOOKUP($C155,参数配置!$A$26:$I$38,{2,3,4,5,6,7,8,9},FALSE),VLOOKUP(参数配置!$A$26,参数配置!$A$26:$I$38,{2,3,4,5,6,7,8,9},FALSE)))/SUMPRODUCT(IFERROR(VLOOKUP($C155,参数配置!$A$26:$I$38,{2,3,4,5,6,7,8,9},FALSE),VLOOKUP(参数配置!$A$26,参数配置!$A$26:$I$38,{2,3,4,5,6,7,8,9},FALSE)),--(H155:O155&lt;&gt;"")),参数配置!$E$13*MAX(H155:O155)),2)))</f>
        <v/>
      </c>
      <c r="Q155" s="23">
        <f>IF($A155="","",IF(P155="","",ROUND(G155*P155,2)))</f>
        <v/>
      </c>
      <c r="R155" s="8">
        <f>IF($A155="","",IF(COUNTIFS(控制措施表!$B:$B,$A155,控制措施表!$C:$C,$F155,控制措施表!$F:$F,"是")=0,IF(COUNTIFS(控制措施表!$B:$B,$A155,控制措施表!$C:$C,$F155)=0,"",MINIFS(控制措施表!$E:$E,控制措施表!$B:$B,$A155,控制措施表!$C:$C,$F155)),MINIFS(控制措施表!$E:$E,控制措施表!$B:$B,$A155,控制措施表!$C:$C,$F155,控制措施表!$F:$F,"是")))</f>
        <v/>
      </c>
      <c r="S155" s="24">
        <f>IF($A155="","",IF(R155="",0,VLOOKUP(R155,参数配置!$D$4:$E$8,2,FALSE)))</f>
        <v/>
      </c>
      <c r="T155" s="23">
        <f>IF($A155="","",IF(Q155="","",ROUND(Q155*(1-S155),2)))</f>
        <v/>
      </c>
      <c r="U155" s="8">
        <f>IF($A155="","",IF(T155="","",IF(T155&gt;=参数配置!$B$14,"极高",IF(T155&gt;=参数配置!$B$15,"高",IF(T155&gt;=参数配置!$B$16,"中",IF(T155&gt;=参数配置!$B$17,"低","极低"))))))</f>
        <v/>
      </c>
      <c r="V155" s="8">
        <f>IF($A155="","",IF(P155="","",ROUND(P155,0)))</f>
        <v/>
      </c>
      <c r="W155" s="8">
        <f>IF($A155="","",IF(Q155="","",ROUND(Q155,0)))</f>
        <v/>
      </c>
      <c r="X155" s="8">
        <f>IF($A155="","",IF(U155="","",IF(U155="极高","每年必审",IF(U155="高","每年审计",IF(U155="中","两年一轮","按需抽查")))))</f>
        <v/>
      </c>
      <c r="Y155" s="24">
        <f>IF($A155="","",IF(OR(Q155="",Q155=0),"",(Q155-T155)/Q155))</f>
        <v/>
      </c>
    </row>
    <row r="156">
      <c r="P156" s="23">
        <f>IF($A156="","",IF(COUNT(H156:O156)=0,"",ROUND(MAX(SUMPRODUCT(H156:O156,IFERROR(VLOOKUP($C156,参数配置!$A$26:$I$38,{2,3,4,5,6,7,8,9},FALSE),VLOOKUP(参数配置!$A$26,参数配置!$A$26:$I$38,{2,3,4,5,6,7,8,9},FALSE)))/SUMPRODUCT(IFERROR(VLOOKUP($C156,参数配置!$A$26:$I$38,{2,3,4,5,6,7,8,9},FALSE),VLOOKUP(参数配置!$A$26,参数配置!$A$26:$I$38,{2,3,4,5,6,7,8,9},FALSE)),--(H156:O156&lt;&gt;"")),参数配置!$E$13*MAX(H156:O156)),2)))</f>
        <v/>
      </c>
      <c r="Q156" s="23">
        <f>IF($A156="","",IF(P156="","",ROUND(G156*P156,2)))</f>
        <v/>
      </c>
      <c r="R156" s="8">
        <f>IF($A156="","",IF(COUNTIFS(控制措施表!$B:$B,$A156,控制措施表!$C:$C,$F156,控制措施表!$F:$F,"是")=0,IF(COUNTIFS(控制措施表!$B:$B,$A156,控制措施表!$C:$C,$F156)=0,"",MINIFS(控制措施表!$E:$E,控制措施表!$B:$B,$A156,控制措施表!$C:$C,$F156)),MINIFS(控制措施表!$E:$E,控制措施表!$B:$B,$A156,控制措施表!$C:$C,$F156,控制措施表!$F:$F,"是")))</f>
        <v/>
      </c>
      <c r="S156" s="24">
        <f>IF($A156="","",IF(R156="",0,VLOOKUP(R156,参数配置!$D$4:$E$8,2,FALSE)))</f>
        <v/>
      </c>
      <c r="T156" s="23">
        <f>IF($A156="","",IF(Q156="","",ROUND(Q156*(1-S156),2)))</f>
        <v/>
      </c>
      <c r="U156" s="8">
        <f>IF($A156="","",IF(T156="","",IF(T156&gt;=参数配置!$B$14,"极高",IF(T156&gt;=参数配置!$B$15,"高",IF(T156&gt;=参数配置!$B$16,"中",IF(T156&gt;=参数配置!$B$17,"低","极低"))))))</f>
        <v/>
      </c>
      <c r="V156" s="8">
        <f>IF($A156="","",IF(P156="","",ROUND(P156,0)))</f>
        <v/>
      </c>
      <c r="W156" s="8">
        <f>IF($A156="","",IF(Q156="","",ROUND(Q156,0)))</f>
        <v/>
      </c>
      <c r="X156" s="8">
        <f>IF($A156="","",IF(U156="","",IF(U156="极高","每年必审",IF(U156="高","每年审计",IF(U156="中","两年一轮","按需抽查")))))</f>
        <v/>
      </c>
      <c r="Y156" s="24">
        <f>IF($A156="","",IF(OR(Q156="",Q156=0),"",(Q156-T156)/Q156))</f>
        <v/>
      </c>
    </row>
    <row r="157">
      <c r="P157" s="23">
        <f>IF($A157="","",IF(COUNT(H157:O157)=0,"",ROUND(MAX(SUMPRODUCT(H157:O157,IFERROR(VLOOKUP($C157,参数配置!$A$26:$I$38,{2,3,4,5,6,7,8,9},FALSE),VLOOKUP(参数配置!$A$26,参数配置!$A$26:$I$38,{2,3,4,5,6,7,8,9},FALSE)))/SUMPRODUCT(IFERROR(VLOOKUP($C157,参数配置!$A$26:$I$38,{2,3,4,5,6,7,8,9},FALSE),VLOOKUP(参数配置!$A$26,参数配置!$A$26:$I$38,{2,3,4,5,6,7,8,9},FALSE)),--(H157:O157&lt;&gt;"")),参数配置!$E$13*MAX(H157:O157)),2)))</f>
        <v/>
      </c>
      <c r="Q157" s="23">
        <f>IF($A157="","",IF(P157="","",ROUND(G157*P157,2)))</f>
        <v/>
      </c>
      <c r="R157" s="8">
        <f>IF($A157="","",IF(COUNTIFS(控制措施表!$B:$B,$A157,控制措施表!$C:$C,$F157,控制措施表!$F:$F,"是")=0,IF(COUNTIFS(控制措施表!$B:$B,$A157,控制措施表!$C:$C,$F157)=0,"",MINIFS(控制措施表!$E:$E,控制措施表!$B:$B,$A157,控制措施表!$C:$C,$F157)),MINIFS(控制措施表!$E:$E,控制措施表!$B:$B,$A157,控制措施表!$C:$C,$F157,控制措施表!$F:$F,"是")))</f>
        <v/>
      </c>
      <c r="S157" s="24">
        <f>IF($A157="","",IF(R157="",0,VLOOKUP(R157,参数配置!$D$4:$E$8,2,FALSE)))</f>
        <v/>
      </c>
      <c r="T157" s="23">
        <f>IF($A157="","",IF(Q157="","",ROUND(Q157*(1-S157),2)))</f>
        <v/>
      </c>
      <c r="U157" s="8">
        <f>IF($A157="","",IF(T157="","",IF(T157&gt;=参数配置!$B$14,"极高",IF(T157&gt;=参数配置!$B$15,"高",IF(T157&gt;=参数配置!$B$16,"中",IF(T157&gt;=参数配置!$B$17,"低","极低"))))))</f>
        <v/>
      </c>
      <c r="V157" s="8">
        <f>IF($A157="","",IF(P157="","",ROUND(P157,0)))</f>
        <v/>
      </c>
      <c r="W157" s="8">
        <f>IF($A157="","",IF(Q157="","",ROUND(Q157,0)))</f>
        <v/>
      </c>
      <c r="X157" s="8">
        <f>IF($A157="","",IF(U157="","",IF(U157="极高","每年必审",IF(U157="高","每年审计",IF(U157="中","两年一轮","按需抽查")))))</f>
        <v/>
      </c>
      <c r="Y157" s="24">
        <f>IF($A157="","",IF(OR(Q157="",Q157=0),"",(Q157-T157)/Q157))</f>
        <v/>
      </c>
    </row>
    <row r="158">
      <c r="P158" s="23">
        <f>IF($A158="","",IF(COUNT(H158:O158)=0,"",ROUND(MAX(SUMPRODUCT(H158:O158,IFERROR(VLOOKUP($C158,参数配置!$A$26:$I$38,{2,3,4,5,6,7,8,9},FALSE),VLOOKUP(参数配置!$A$26,参数配置!$A$26:$I$38,{2,3,4,5,6,7,8,9},FALSE)))/SUMPRODUCT(IFERROR(VLOOKUP($C158,参数配置!$A$26:$I$38,{2,3,4,5,6,7,8,9},FALSE),VLOOKUP(参数配置!$A$26,参数配置!$A$26:$I$38,{2,3,4,5,6,7,8,9},FALSE)),--(H158:O158&lt;&gt;"")),参数配置!$E$13*MAX(H158:O158)),2)))</f>
        <v/>
      </c>
      <c r="Q158" s="23">
        <f>IF($A158="","",IF(P158="","",ROUND(G158*P158,2)))</f>
        <v/>
      </c>
      <c r="R158" s="8">
        <f>IF($A158="","",IF(COUNTIFS(控制措施表!$B:$B,$A158,控制措施表!$C:$C,$F158,控制措施表!$F:$F,"是")=0,IF(COUNTIFS(控制措施表!$B:$B,$A158,控制措施表!$C:$C,$F158)=0,"",MINIFS(控制措施表!$E:$E,控制措施表!$B:$B,$A158,控制措施表!$C:$C,$F158)),MINIFS(控制措施表!$E:$E,控制措施表!$B:$B,$A158,控制措施表!$C:$C,$F158,控制措施表!$F:$F,"是")))</f>
        <v/>
      </c>
      <c r="S158" s="24">
        <f>IF($A158="","",IF(R158="",0,VLOOKUP(R158,参数配置!$D$4:$E$8,2,FALSE)))</f>
        <v/>
      </c>
      <c r="T158" s="23">
        <f>IF($A158="","",IF(Q158="","",ROUND(Q158*(1-S158),2)))</f>
        <v/>
      </c>
      <c r="U158" s="8">
        <f>IF($A158="","",IF(T158="","",IF(T158&gt;=参数配置!$B$14,"极高",IF(T158&gt;=参数配置!$B$15,"高",IF(T158&gt;=参数配置!$B$16,"中",IF(T158&gt;=参数配置!$B$17,"低","极低"))))))</f>
        <v/>
      </c>
      <c r="V158" s="8">
        <f>IF($A158="","",IF(P158="","",ROUND(P158,0)))</f>
        <v/>
      </c>
      <c r="W158" s="8">
        <f>IF($A158="","",IF(Q158="","",ROUND(Q158,0)))</f>
        <v/>
      </c>
      <c r="X158" s="8">
        <f>IF($A158="","",IF(U158="","",IF(U158="极高","每年必审",IF(U158="高","每年审计",IF(U158="中","两年一轮","按需抽查")))))</f>
        <v/>
      </c>
      <c r="Y158" s="24">
        <f>IF($A158="","",IF(OR(Q158="",Q158=0),"",(Q158-T158)/Q158))</f>
        <v/>
      </c>
    </row>
    <row r="159">
      <c r="P159" s="23">
        <f>IF($A159="","",IF(COUNT(H159:O159)=0,"",ROUND(MAX(SUMPRODUCT(H159:O159,IFERROR(VLOOKUP($C159,参数配置!$A$26:$I$38,{2,3,4,5,6,7,8,9},FALSE),VLOOKUP(参数配置!$A$26,参数配置!$A$26:$I$38,{2,3,4,5,6,7,8,9},FALSE)))/SUMPRODUCT(IFERROR(VLOOKUP($C159,参数配置!$A$26:$I$38,{2,3,4,5,6,7,8,9},FALSE),VLOOKUP(参数配置!$A$26,参数配置!$A$26:$I$38,{2,3,4,5,6,7,8,9},FALSE)),--(H159:O159&lt;&gt;"")),参数配置!$E$13*MAX(H159:O159)),2)))</f>
        <v/>
      </c>
      <c r="Q159" s="23">
        <f>IF($A159="","",IF(P159="","",ROUND(G159*P159,2)))</f>
        <v/>
      </c>
      <c r="R159" s="8">
        <f>IF($A159="","",IF(COUNTIFS(控制措施表!$B:$B,$A159,控制措施表!$C:$C,$F159,控制措施表!$F:$F,"是")=0,IF(COUNTIFS(控制措施表!$B:$B,$A159,控制措施表!$C:$C,$F159)=0,"",MINIFS(控制措施表!$E:$E,控制措施表!$B:$B,$A159,控制措施表!$C:$C,$F159)),MINIFS(控制措施表!$E:$E,控制措施表!$B:$B,$A159,控制措施表!$C:$C,$F159,控制措施表!$F:$F,"是")))</f>
        <v/>
      </c>
      <c r="S159" s="24">
        <f>IF($A159="","",IF(R159="",0,VLOOKUP(R159,参数配置!$D$4:$E$8,2,FALSE)))</f>
        <v/>
      </c>
      <c r="T159" s="23">
        <f>IF($A159="","",IF(Q159="","",ROUND(Q159*(1-S159),2)))</f>
        <v/>
      </c>
      <c r="U159" s="8">
        <f>IF($A159="","",IF(T159="","",IF(T159&gt;=参数配置!$B$14,"极高",IF(T159&gt;=参数配置!$B$15,"高",IF(T159&gt;=参数配置!$B$16,"中",IF(T159&gt;=参数配置!$B$17,"低","极低"))))))</f>
        <v/>
      </c>
      <c r="V159" s="8">
        <f>IF($A159="","",IF(P159="","",ROUND(P159,0)))</f>
        <v/>
      </c>
      <c r="W159" s="8">
        <f>IF($A159="","",IF(Q159="","",ROUND(Q159,0)))</f>
        <v/>
      </c>
      <c r="X159" s="8">
        <f>IF($A159="","",IF(U159="","",IF(U159="极高","每年必审",IF(U159="高","每年审计",IF(U159="中","两年一轮","按需抽查")))))</f>
        <v/>
      </c>
      <c r="Y159" s="24">
        <f>IF($A159="","",IF(OR(Q159="",Q159=0),"",(Q159-T159)/Q159))</f>
        <v/>
      </c>
    </row>
    <row r="160">
      <c r="P160" s="23">
        <f>IF($A160="","",IF(COUNT(H160:O160)=0,"",ROUND(MAX(SUMPRODUCT(H160:O160,IFERROR(VLOOKUP($C160,参数配置!$A$26:$I$38,{2,3,4,5,6,7,8,9},FALSE),VLOOKUP(参数配置!$A$26,参数配置!$A$26:$I$38,{2,3,4,5,6,7,8,9},FALSE)))/SUMPRODUCT(IFERROR(VLOOKUP($C160,参数配置!$A$26:$I$38,{2,3,4,5,6,7,8,9},FALSE),VLOOKUP(参数配置!$A$26,参数配置!$A$26:$I$38,{2,3,4,5,6,7,8,9},FALSE)),--(H160:O160&lt;&gt;"")),参数配置!$E$13*MAX(H160:O160)),2)))</f>
        <v/>
      </c>
      <c r="Q160" s="23">
        <f>IF($A160="","",IF(P160="","",ROUND(G160*P160,2)))</f>
        <v/>
      </c>
      <c r="R160" s="8">
        <f>IF($A160="","",IF(COUNTIFS(控制措施表!$B:$B,$A160,控制措施表!$C:$C,$F160,控制措施表!$F:$F,"是")=0,IF(COUNTIFS(控制措施表!$B:$B,$A160,控制措施表!$C:$C,$F160)=0,"",MINIFS(控制措施表!$E:$E,控制措施表!$B:$B,$A160,控制措施表!$C:$C,$F160)),MINIFS(控制措施表!$E:$E,控制措施表!$B:$B,$A160,控制措施表!$C:$C,$F160,控制措施表!$F:$F,"是")))</f>
        <v/>
      </c>
      <c r="S160" s="24">
        <f>IF($A160="","",IF(R160="",0,VLOOKUP(R160,参数配置!$D$4:$E$8,2,FALSE)))</f>
        <v/>
      </c>
      <c r="T160" s="23">
        <f>IF($A160="","",IF(Q160="","",ROUND(Q160*(1-S160),2)))</f>
        <v/>
      </c>
      <c r="U160" s="8">
        <f>IF($A160="","",IF(T160="","",IF(T160&gt;=参数配置!$B$14,"极高",IF(T160&gt;=参数配置!$B$15,"高",IF(T160&gt;=参数配置!$B$16,"中",IF(T160&gt;=参数配置!$B$17,"低","极低"))))))</f>
        <v/>
      </c>
      <c r="V160" s="8">
        <f>IF($A160="","",IF(P160="","",ROUND(P160,0)))</f>
        <v/>
      </c>
      <c r="W160" s="8">
        <f>IF($A160="","",IF(Q160="","",ROUND(Q160,0)))</f>
        <v/>
      </c>
      <c r="X160" s="8">
        <f>IF($A160="","",IF(U160="","",IF(U160="极高","每年必审",IF(U160="高","每年审计",IF(U160="中","两年一轮","按需抽查")))))</f>
        <v/>
      </c>
      <c r="Y160" s="24">
        <f>IF($A160="","",IF(OR(Q160="",Q160=0),"",(Q160-T160)/Q160))</f>
        <v/>
      </c>
    </row>
    <row r="161">
      <c r="P161" s="23">
        <f>IF($A161="","",IF(COUNT(H161:O161)=0,"",ROUND(MAX(SUMPRODUCT(H161:O161,IFERROR(VLOOKUP($C161,参数配置!$A$26:$I$38,{2,3,4,5,6,7,8,9},FALSE),VLOOKUP(参数配置!$A$26,参数配置!$A$26:$I$38,{2,3,4,5,6,7,8,9},FALSE)))/SUMPRODUCT(IFERROR(VLOOKUP($C161,参数配置!$A$26:$I$38,{2,3,4,5,6,7,8,9},FALSE),VLOOKUP(参数配置!$A$26,参数配置!$A$26:$I$38,{2,3,4,5,6,7,8,9},FALSE)),--(H161:O161&lt;&gt;"")),参数配置!$E$13*MAX(H161:O161)),2)))</f>
        <v/>
      </c>
      <c r="Q161" s="23">
        <f>IF($A161="","",IF(P161="","",ROUND(G161*P161,2)))</f>
        <v/>
      </c>
      <c r="R161" s="8">
        <f>IF($A161="","",IF(COUNTIFS(控制措施表!$B:$B,$A161,控制措施表!$C:$C,$F161,控制措施表!$F:$F,"是")=0,IF(COUNTIFS(控制措施表!$B:$B,$A161,控制措施表!$C:$C,$F161)=0,"",MINIFS(控制措施表!$E:$E,控制措施表!$B:$B,$A161,控制措施表!$C:$C,$F161)),MINIFS(控制措施表!$E:$E,控制措施表!$B:$B,$A161,控制措施表!$C:$C,$F161,控制措施表!$F:$F,"是")))</f>
        <v/>
      </c>
      <c r="S161" s="24">
        <f>IF($A161="","",IF(R161="",0,VLOOKUP(R161,参数配置!$D$4:$E$8,2,FALSE)))</f>
        <v/>
      </c>
      <c r="T161" s="23">
        <f>IF($A161="","",IF(Q161="","",ROUND(Q161*(1-S161),2)))</f>
        <v/>
      </c>
      <c r="U161" s="8">
        <f>IF($A161="","",IF(T161="","",IF(T161&gt;=参数配置!$B$14,"极高",IF(T161&gt;=参数配置!$B$15,"高",IF(T161&gt;=参数配置!$B$16,"中",IF(T161&gt;=参数配置!$B$17,"低","极低"))))))</f>
        <v/>
      </c>
      <c r="V161" s="8">
        <f>IF($A161="","",IF(P161="","",ROUND(P161,0)))</f>
        <v/>
      </c>
      <c r="W161" s="8">
        <f>IF($A161="","",IF(Q161="","",ROUND(Q161,0)))</f>
        <v/>
      </c>
      <c r="X161" s="8">
        <f>IF($A161="","",IF(U161="","",IF(U161="极高","每年必审",IF(U161="高","每年审计",IF(U161="中","两年一轮","按需抽查")))))</f>
        <v/>
      </c>
      <c r="Y161" s="24">
        <f>IF($A161="","",IF(OR(Q161="",Q161=0),"",(Q161-T161)/Q161))</f>
        <v/>
      </c>
    </row>
    <row r="162">
      <c r="P162" s="23">
        <f>IF($A162="","",IF(COUNT(H162:O162)=0,"",ROUND(MAX(SUMPRODUCT(H162:O162,IFERROR(VLOOKUP($C162,参数配置!$A$26:$I$38,{2,3,4,5,6,7,8,9},FALSE),VLOOKUP(参数配置!$A$26,参数配置!$A$26:$I$38,{2,3,4,5,6,7,8,9},FALSE)))/SUMPRODUCT(IFERROR(VLOOKUP($C162,参数配置!$A$26:$I$38,{2,3,4,5,6,7,8,9},FALSE),VLOOKUP(参数配置!$A$26,参数配置!$A$26:$I$38,{2,3,4,5,6,7,8,9},FALSE)),--(H162:O162&lt;&gt;"")),参数配置!$E$13*MAX(H162:O162)),2)))</f>
        <v/>
      </c>
      <c r="Q162" s="23">
        <f>IF($A162="","",IF(P162="","",ROUND(G162*P162,2)))</f>
        <v/>
      </c>
      <c r="R162" s="8">
        <f>IF($A162="","",IF(COUNTIFS(控制措施表!$B:$B,$A162,控制措施表!$C:$C,$F162,控制措施表!$F:$F,"是")=0,IF(COUNTIFS(控制措施表!$B:$B,$A162,控制措施表!$C:$C,$F162)=0,"",MINIFS(控制措施表!$E:$E,控制措施表!$B:$B,$A162,控制措施表!$C:$C,$F162)),MINIFS(控制措施表!$E:$E,控制措施表!$B:$B,$A162,控制措施表!$C:$C,$F162,控制措施表!$F:$F,"是")))</f>
        <v/>
      </c>
      <c r="S162" s="24">
        <f>IF($A162="","",IF(R162="",0,VLOOKUP(R162,参数配置!$D$4:$E$8,2,FALSE)))</f>
        <v/>
      </c>
      <c r="T162" s="23">
        <f>IF($A162="","",IF(Q162="","",ROUND(Q162*(1-S162),2)))</f>
        <v/>
      </c>
      <c r="U162" s="8">
        <f>IF($A162="","",IF(T162="","",IF(T162&gt;=参数配置!$B$14,"极高",IF(T162&gt;=参数配置!$B$15,"高",IF(T162&gt;=参数配置!$B$16,"中",IF(T162&gt;=参数配置!$B$17,"低","极低"))))))</f>
        <v/>
      </c>
      <c r="V162" s="8">
        <f>IF($A162="","",IF(P162="","",ROUND(P162,0)))</f>
        <v/>
      </c>
      <c r="W162" s="8">
        <f>IF($A162="","",IF(Q162="","",ROUND(Q162,0)))</f>
        <v/>
      </c>
      <c r="X162" s="8">
        <f>IF($A162="","",IF(U162="","",IF(U162="极高","每年必审",IF(U162="高","每年审计",IF(U162="中","两年一轮","按需抽查")))))</f>
        <v/>
      </c>
      <c r="Y162" s="24">
        <f>IF($A162="","",IF(OR(Q162="",Q162=0),"",(Q162-T162)/Q162))</f>
        <v/>
      </c>
    </row>
    <row r="163">
      <c r="P163" s="23">
        <f>IF($A163="","",IF(COUNT(H163:O163)=0,"",ROUND(MAX(SUMPRODUCT(H163:O163,IFERROR(VLOOKUP($C163,参数配置!$A$26:$I$38,{2,3,4,5,6,7,8,9},FALSE),VLOOKUP(参数配置!$A$26,参数配置!$A$26:$I$38,{2,3,4,5,6,7,8,9},FALSE)))/SUMPRODUCT(IFERROR(VLOOKUP($C163,参数配置!$A$26:$I$38,{2,3,4,5,6,7,8,9},FALSE),VLOOKUP(参数配置!$A$26,参数配置!$A$26:$I$38,{2,3,4,5,6,7,8,9},FALSE)),--(H163:O163&lt;&gt;"")),参数配置!$E$13*MAX(H163:O163)),2)))</f>
        <v/>
      </c>
      <c r="Q163" s="23">
        <f>IF($A163="","",IF(P163="","",ROUND(G163*P163,2)))</f>
        <v/>
      </c>
      <c r="R163" s="8">
        <f>IF($A163="","",IF(COUNTIFS(控制措施表!$B:$B,$A163,控制措施表!$C:$C,$F163,控制措施表!$F:$F,"是")=0,IF(COUNTIFS(控制措施表!$B:$B,$A163,控制措施表!$C:$C,$F163)=0,"",MINIFS(控制措施表!$E:$E,控制措施表!$B:$B,$A163,控制措施表!$C:$C,$F163)),MINIFS(控制措施表!$E:$E,控制措施表!$B:$B,$A163,控制措施表!$C:$C,$F163,控制措施表!$F:$F,"是")))</f>
        <v/>
      </c>
      <c r="S163" s="24">
        <f>IF($A163="","",IF(R163="",0,VLOOKUP(R163,参数配置!$D$4:$E$8,2,FALSE)))</f>
        <v/>
      </c>
      <c r="T163" s="23">
        <f>IF($A163="","",IF(Q163="","",ROUND(Q163*(1-S163),2)))</f>
        <v/>
      </c>
      <c r="U163" s="8">
        <f>IF($A163="","",IF(T163="","",IF(T163&gt;=参数配置!$B$14,"极高",IF(T163&gt;=参数配置!$B$15,"高",IF(T163&gt;=参数配置!$B$16,"中",IF(T163&gt;=参数配置!$B$17,"低","极低"))))))</f>
        <v/>
      </c>
      <c r="V163" s="8">
        <f>IF($A163="","",IF(P163="","",ROUND(P163,0)))</f>
        <v/>
      </c>
      <c r="W163" s="8">
        <f>IF($A163="","",IF(Q163="","",ROUND(Q163,0)))</f>
        <v/>
      </c>
      <c r="X163" s="8">
        <f>IF($A163="","",IF(U163="","",IF(U163="极高","每年必审",IF(U163="高","每年审计",IF(U163="中","两年一轮","按需抽查")))))</f>
        <v/>
      </c>
      <c r="Y163" s="24">
        <f>IF($A163="","",IF(OR(Q163="",Q163=0),"",(Q163-T163)/Q163))</f>
        <v/>
      </c>
    </row>
    <row r="164">
      <c r="P164" s="23">
        <f>IF($A164="","",IF(COUNT(H164:O164)=0,"",ROUND(MAX(SUMPRODUCT(H164:O164,IFERROR(VLOOKUP($C164,参数配置!$A$26:$I$38,{2,3,4,5,6,7,8,9},FALSE),VLOOKUP(参数配置!$A$26,参数配置!$A$26:$I$38,{2,3,4,5,6,7,8,9},FALSE)))/SUMPRODUCT(IFERROR(VLOOKUP($C164,参数配置!$A$26:$I$38,{2,3,4,5,6,7,8,9},FALSE),VLOOKUP(参数配置!$A$26,参数配置!$A$26:$I$38,{2,3,4,5,6,7,8,9},FALSE)),--(H164:O164&lt;&gt;"")),参数配置!$E$13*MAX(H164:O164)),2)))</f>
        <v/>
      </c>
      <c r="Q164" s="23">
        <f>IF($A164="","",IF(P164="","",ROUND(G164*P164,2)))</f>
        <v/>
      </c>
      <c r="R164" s="8">
        <f>IF($A164="","",IF(COUNTIFS(控制措施表!$B:$B,$A164,控制措施表!$C:$C,$F164,控制措施表!$F:$F,"是")=0,IF(COUNTIFS(控制措施表!$B:$B,$A164,控制措施表!$C:$C,$F164)=0,"",MINIFS(控制措施表!$E:$E,控制措施表!$B:$B,$A164,控制措施表!$C:$C,$F164)),MINIFS(控制措施表!$E:$E,控制措施表!$B:$B,$A164,控制措施表!$C:$C,$F164,控制措施表!$F:$F,"是")))</f>
        <v/>
      </c>
      <c r="S164" s="24">
        <f>IF($A164="","",IF(R164="",0,VLOOKUP(R164,参数配置!$D$4:$E$8,2,FALSE)))</f>
        <v/>
      </c>
      <c r="T164" s="23">
        <f>IF($A164="","",IF(Q164="","",ROUND(Q164*(1-S164),2)))</f>
        <v/>
      </c>
      <c r="U164" s="8">
        <f>IF($A164="","",IF(T164="","",IF(T164&gt;=参数配置!$B$14,"极高",IF(T164&gt;=参数配置!$B$15,"高",IF(T164&gt;=参数配置!$B$16,"中",IF(T164&gt;=参数配置!$B$17,"低","极低"))))))</f>
        <v/>
      </c>
      <c r="V164" s="8">
        <f>IF($A164="","",IF(P164="","",ROUND(P164,0)))</f>
        <v/>
      </c>
      <c r="W164" s="8">
        <f>IF($A164="","",IF(Q164="","",ROUND(Q164,0)))</f>
        <v/>
      </c>
      <c r="X164" s="8">
        <f>IF($A164="","",IF(U164="","",IF(U164="极高","每年必审",IF(U164="高","每年审计",IF(U164="中","两年一轮","按需抽查")))))</f>
        <v/>
      </c>
      <c r="Y164" s="24">
        <f>IF($A164="","",IF(OR(Q164="",Q164=0),"",(Q164-T164)/Q164))</f>
        <v/>
      </c>
    </row>
    <row r="165">
      <c r="P165" s="23">
        <f>IF($A165="","",IF(COUNT(H165:O165)=0,"",ROUND(MAX(SUMPRODUCT(H165:O165,IFERROR(VLOOKUP($C165,参数配置!$A$26:$I$38,{2,3,4,5,6,7,8,9},FALSE),VLOOKUP(参数配置!$A$26,参数配置!$A$26:$I$38,{2,3,4,5,6,7,8,9},FALSE)))/SUMPRODUCT(IFERROR(VLOOKUP($C165,参数配置!$A$26:$I$38,{2,3,4,5,6,7,8,9},FALSE),VLOOKUP(参数配置!$A$26,参数配置!$A$26:$I$38,{2,3,4,5,6,7,8,9},FALSE)),--(H165:O165&lt;&gt;"")),参数配置!$E$13*MAX(H165:O165)),2)))</f>
        <v/>
      </c>
      <c r="Q165" s="23">
        <f>IF($A165="","",IF(P165="","",ROUND(G165*P165,2)))</f>
        <v/>
      </c>
      <c r="R165" s="8">
        <f>IF($A165="","",IF(COUNTIFS(控制措施表!$B:$B,$A165,控制措施表!$C:$C,$F165,控制措施表!$F:$F,"是")=0,IF(COUNTIFS(控制措施表!$B:$B,$A165,控制措施表!$C:$C,$F165)=0,"",MINIFS(控制措施表!$E:$E,控制措施表!$B:$B,$A165,控制措施表!$C:$C,$F165)),MINIFS(控制措施表!$E:$E,控制措施表!$B:$B,$A165,控制措施表!$C:$C,$F165,控制措施表!$F:$F,"是")))</f>
        <v/>
      </c>
      <c r="S165" s="24">
        <f>IF($A165="","",IF(R165="",0,VLOOKUP(R165,参数配置!$D$4:$E$8,2,FALSE)))</f>
        <v/>
      </c>
      <c r="T165" s="23">
        <f>IF($A165="","",IF(Q165="","",ROUND(Q165*(1-S165),2)))</f>
        <v/>
      </c>
      <c r="U165" s="8">
        <f>IF($A165="","",IF(T165="","",IF(T165&gt;=参数配置!$B$14,"极高",IF(T165&gt;=参数配置!$B$15,"高",IF(T165&gt;=参数配置!$B$16,"中",IF(T165&gt;=参数配置!$B$17,"低","极低"))))))</f>
        <v/>
      </c>
      <c r="V165" s="8">
        <f>IF($A165="","",IF(P165="","",ROUND(P165,0)))</f>
        <v/>
      </c>
      <c r="W165" s="8">
        <f>IF($A165="","",IF(Q165="","",ROUND(Q165,0)))</f>
        <v/>
      </c>
      <c r="X165" s="8">
        <f>IF($A165="","",IF(U165="","",IF(U165="极高","每年必审",IF(U165="高","每年审计",IF(U165="中","两年一轮","按需抽查")))))</f>
        <v/>
      </c>
      <c r="Y165" s="24">
        <f>IF($A165="","",IF(OR(Q165="",Q165=0),"",(Q165-T165)/Q165))</f>
        <v/>
      </c>
    </row>
    <row r="166">
      <c r="P166" s="23">
        <f>IF($A166="","",IF(COUNT(H166:O166)=0,"",ROUND(MAX(SUMPRODUCT(H166:O166,IFERROR(VLOOKUP($C166,参数配置!$A$26:$I$38,{2,3,4,5,6,7,8,9},FALSE),VLOOKUP(参数配置!$A$26,参数配置!$A$26:$I$38,{2,3,4,5,6,7,8,9},FALSE)))/SUMPRODUCT(IFERROR(VLOOKUP($C166,参数配置!$A$26:$I$38,{2,3,4,5,6,7,8,9},FALSE),VLOOKUP(参数配置!$A$26,参数配置!$A$26:$I$38,{2,3,4,5,6,7,8,9},FALSE)),--(H166:O166&lt;&gt;"")),参数配置!$E$13*MAX(H166:O166)),2)))</f>
        <v/>
      </c>
      <c r="Q166" s="23">
        <f>IF($A166="","",IF(P166="","",ROUND(G166*P166,2)))</f>
        <v/>
      </c>
      <c r="R166" s="8">
        <f>IF($A166="","",IF(COUNTIFS(控制措施表!$B:$B,$A166,控制措施表!$C:$C,$F166,控制措施表!$F:$F,"是")=0,IF(COUNTIFS(控制措施表!$B:$B,$A166,控制措施表!$C:$C,$F166)=0,"",MINIFS(控制措施表!$E:$E,控制措施表!$B:$B,$A166,控制措施表!$C:$C,$F166)),MINIFS(控制措施表!$E:$E,控制措施表!$B:$B,$A166,控制措施表!$C:$C,$F166,控制措施表!$F:$F,"是")))</f>
        <v/>
      </c>
      <c r="S166" s="24">
        <f>IF($A166="","",IF(R166="",0,VLOOKUP(R166,参数配置!$D$4:$E$8,2,FALSE)))</f>
        <v/>
      </c>
      <c r="T166" s="23">
        <f>IF($A166="","",IF(Q166="","",ROUND(Q166*(1-S166),2)))</f>
        <v/>
      </c>
      <c r="U166" s="8">
        <f>IF($A166="","",IF(T166="","",IF(T166&gt;=参数配置!$B$14,"极高",IF(T166&gt;=参数配置!$B$15,"高",IF(T166&gt;=参数配置!$B$16,"中",IF(T166&gt;=参数配置!$B$17,"低","极低"))))))</f>
        <v/>
      </c>
      <c r="V166" s="8">
        <f>IF($A166="","",IF(P166="","",ROUND(P166,0)))</f>
        <v/>
      </c>
      <c r="W166" s="8">
        <f>IF($A166="","",IF(Q166="","",ROUND(Q166,0)))</f>
        <v/>
      </c>
      <c r="X166" s="8">
        <f>IF($A166="","",IF(U166="","",IF(U166="极高","每年必审",IF(U166="高","每年审计",IF(U166="中","两年一轮","按需抽查")))))</f>
        <v/>
      </c>
      <c r="Y166" s="24">
        <f>IF($A166="","",IF(OR(Q166="",Q166=0),"",(Q166-T166)/Q166))</f>
        <v/>
      </c>
    </row>
    <row r="167">
      <c r="P167" s="23">
        <f>IF($A167="","",IF(COUNT(H167:O167)=0,"",ROUND(MAX(SUMPRODUCT(H167:O167,IFERROR(VLOOKUP($C167,参数配置!$A$26:$I$38,{2,3,4,5,6,7,8,9},FALSE),VLOOKUP(参数配置!$A$26,参数配置!$A$26:$I$38,{2,3,4,5,6,7,8,9},FALSE)))/SUMPRODUCT(IFERROR(VLOOKUP($C167,参数配置!$A$26:$I$38,{2,3,4,5,6,7,8,9},FALSE),VLOOKUP(参数配置!$A$26,参数配置!$A$26:$I$38,{2,3,4,5,6,7,8,9},FALSE)),--(H167:O167&lt;&gt;"")),参数配置!$E$13*MAX(H167:O167)),2)))</f>
        <v/>
      </c>
      <c r="Q167" s="23">
        <f>IF($A167="","",IF(P167="","",ROUND(G167*P167,2)))</f>
        <v/>
      </c>
      <c r="R167" s="8">
        <f>IF($A167="","",IF(COUNTIFS(控制措施表!$B:$B,$A167,控制措施表!$C:$C,$F167,控制措施表!$F:$F,"是")=0,IF(COUNTIFS(控制措施表!$B:$B,$A167,控制措施表!$C:$C,$F167)=0,"",MINIFS(控制措施表!$E:$E,控制措施表!$B:$B,$A167,控制措施表!$C:$C,$F167)),MINIFS(控制措施表!$E:$E,控制措施表!$B:$B,$A167,控制措施表!$C:$C,$F167,控制措施表!$F:$F,"是")))</f>
        <v/>
      </c>
      <c r="S167" s="24">
        <f>IF($A167="","",IF(R167="",0,VLOOKUP(R167,参数配置!$D$4:$E$8,2,FALSE)))</f>
        <v/>
      </c>
      <c r="T167" s="23">
        <f>IF($A167="","",IF(Q167="","",ROUND(Q167*(1-S167),2)))</f>
        <v/>
      </c>
      <c r="U167" s="8">
        <f>IF($A167="","",IF(T167="","",IF(T167&gt;=参数配置!$B$14,"极高",IF(T167&gt;=参数配置!$B$15,"高",IF(T167&gt;=参数配置!$B$16,"中",IF(T167&gt;=参数配置!$B$17,"低","极低"))))))</f>
        <v/>
      </c>
      <c r="V167" s="8">
        <f>IF($A167="","",IF(P167="","",ROUND(P167,0)))</f>
        <v/>
      </c>
      <c r="W167" s="8">
        <f>IF($A167="","",IF(Q167="","",ROUND(Q167,0)))</f>
        <v/>
      </c>
      <c r="X167" s="8">
        <f>IF($A167="","",IF(U167="","",IF(U167="极高","每年必审",IF(U167="高","每年审计",IF(U167="中","两年一轮","按需抽查")))))</f>
        <v/>
      </c>
      <c r="Y167" s="24">
        <f>IF($A167="","",IF(OR(Q167="",Q167=0),"",(Q167-T167)/Q167))</f>
        <v/>
      </c>
    </row>
    <row r="168">
      <c r="P168" s="23">
        <f>IF($A168="","",IF(COUNT(H168:O168)=0,"",ROUND(MAX(SUMPRODUCT(H168:O168,IFERROR(VLOOKUP($C168,参数配置!$A$26:$I$38,{2,3,4,5,6,7,8,9},FALSE),VLOOKUP(参数配置!$A$26,参数配置!$A$26:$I$38,{2,3,4,5,6,7,8,9},FALSE)))/SUMPRODUCT(IFERROR(VLOOKUP($C168,参数配置!$A$26:$I$38,{2,3,4,5,6,7,8,9},FALSE),VLOOKUP(参数配置!$A$26,参数配置!$A$26:$I$38,{2,3,4,5,6,7,8,9},FALSE)),--(H168:O168&lt;&gt;"")),参数配置!$E$13*MAX(H168:O168)),2)))</f>
        <v/>
      </c>
      <c r="Q168" s="23">
        <f>IF($A168="","",IF(P168="","",ROUND(G168*P168,2)))</f>
        <v/>
      </c>
      <c r="R168" s="8">
        <f>IF($A168="","",IF(COUNTIFS(控制措施表!$B:$B,$A168,控制措施表!$C:$C,$F168,控制措施表!$F:$F,"是")=0,IF(COUNTIFS(控制措施表!$B:$B,$A168,控制措施表!$C:$C,$F168)=0,"",MINIFS(控制措施表!$E:$E,控制措施表!$B:$B,$A168,控制措施表!$C:$C,$F168)),MINIFS(控制措施表!$E:$E,控制措施表!$B:$B,$A168,控制措施表!$C:$C,$F168,控制措施表!$F:$F,"是")))</f>
        <v/>
      </c>
      <c r="S168" s="24">
        <f>IF($A168="","",IF(R168="",0,VLOOKUP(R168,参数配置!$D$4:$E$8,2,FALSE)))</f>
        <v/>
      </c>
      <c r="T168" s="23">
        <f>IF($A168="","",IF(Q168="","",ROUND(Q168*(1-S168),2)))</f>
        <v/>
      </c>
      <c r="U168" s="8">
        <f>IF($A168="","",IF(T168="","",IF(T168&gt;=参数配置!$B$14,"极高",IF(T168&gt;=参数配置!$B$15,"高",IF(T168&gt;=参数配置!$B$16,"中",IF(T168&gt;=参数配置!$B$17,"低","极低"))))))</f>
        <v/>
      </c>
      <c r="V168" s="8">
        <f>IF($A168="","",IF(P168="","",ROUND(P168,0)))</f>
        <v/>
      </c>
      <c r="W168" s="8">
        <f>IF($A168="","",IF(Q168="","",ROUND(Q168,0)))</f>
        <v/>
      </c>
      <c r="X168" s="8">
        <f>IF($A168="","",IF(U168="","",IF(U168="极高","每年必审",IF(U168="高","每年审计",IF(U168="中","两年一轮","按需抽查")))))</f>
        <v/>
      </c>
      <c r="Y168" s="24">
        <f>IF($A168="","",IF(OR(Q168="",Q168=0),"",(Q168-T168)/Q168))</f>
        <v/>
      </c>
    </row>
    <row r="169">
      <c r="P169" s="23">
        <f>IF($A169="","",IF(COUNT(H169:O169)=0,"",ROUND(MAX(SUMPRODUCT(H169:O169,IFERROR(VLOOKUP($C169,参数配置!$A$26:$I$38,{2,3,4,5,6,7,8,9},FALSE),VLOOKUP(参数配置!$A$26,参数配置!$A$26:$I$38,{2,3,4,5,6,7,8,9},FALSE)))/SUMPRODUCT(IFERROR(VLOOKUP($C169,参数配置!$A$26:$I$38,{2,3,4,5,6,7,8,9},FALSE),VLOOKUP(参数配置!$A$26,参数配置!$A$26:$I$38,{2,3,4,5,6,7,8,9},FALSE)),--(H169:O169&lt;&gt;"")),参数配置!$E$13*MAX(H169:O169)),2)))</f>
        <v/>
      </c>
      <c r="Q169" s="23">
        <f>IF($A169="","",IF(P169="","",ROUND(G169*P169,2)))</f>
        <v/>
      </c>
      <c r="R169" s="8">
        <f>IF($A169="","",IF(COUNTIFS(控制措施表!$B:$B,$A169,控制措施表!$C:$C,$F169,控制措施表!$F:$F,"是")=0,IF(COUNTIFS(控制措施表!$B:$B,$A169,控制措施表!$C:$C,$F169)=0,"",MINIFS(控制措施表!$E:$E,控制措施表!$B:$B,$A169,控制措施表!$C:$C,$F169)),MINIFS(控制措施表!$E:$E,控制措施表!$B:$B,$A169,控制措施表!$C:$C,$F169,控制措施表!$F:$F,"是")))</f>
        <v/>
      </c>
      <c r="S169" s="24">
        <f>IF($A169="","",IF(R169="",0,VLOOKUP(R169,参数配置!$D$4:$E$8,2,FALSE)))</f>
        <v/>
      </c>
      <c r="T169" s="23">
        <f>IF($A169="","",IF(Q169="","",ROUND(Q169*(1-S169),2)))</f>
        <v/>
      </c>
      <c r="U169" s="8">
        <f>IF($A169="","",IF(T169="","",IF(T169&gt;=参数配置!$B$14,"极高",IF(T169&gt;=参数配置!$B$15,"高",IF(T169&gt;=参数配置!$B$16,"中",IF(T169&gt;=参数配置!$B$17,"低","极低"))))))</f>
        <v/>
      </c>
      <c r="V169" s="8">
        <f>IF($A169="","",IF(P169="","",ROUND(P169,0)))</f>
        <v/>
      </c>
      <c r="W169" s="8">
        <f>IF($A169="","",IF(Q169="","",ROUND(Q169,0)))</f>
        <v/>
      </c>
      <c r="X169" s="8">
        <f>IF($A169="","",IF(U169="","",IF(U169="极高","每年必审",IF(U169="高","每年审计",IF(U169="中","两年一轮","按需抽查")))))</f>
        <v/>
      </c>
      <c r="Y169" s="24">
        <f>IF($A169="","",IF(OR(Q169="",Q169=0),"",(Q169-T169)/Q169))</f>
        <v/>
      </c>
    </row>
    <row r="170">
      <c r="P170" s="23">
        <f>IF($A170="","",IF(COUNT(H170:O170)=0,"",ROUND(MAX(SUMPRODUCT(H170:O170,IFERROR(VLOOKUP($C170,参数配置!$A$26:$I$38,{2,3,4,5,6,7,8,9},FALSE),VLOOKUP(参数配置!$A$26,参数配置!$A$26:$I$38,{2,3,4,5,6,7,8,9},FALSE)))/SUMPRODUCT(IFERROR(VLOOKUP($C170,参数配置!$A$26:$I$38,{2,3,4,5,6,7,8,9},FALSE),VLOOKUP(参数配置!$A$26,参数配置!$A$26:$I$38,{2,3,4,5,6,7,8,9},FALSE)),--(H170:O170&lt;&gt;"")),参数配置!$E$13*MAX(H170:O170)),2)))</f>
        <v/>
      </c>
      <c r="Q170" s="23">
        <f>IF($A170="","",IF(P170="","",ROUND(G170*P170,2)))</f>
        <v/>
      </c>
      <c r="R170" s="8">
        <f>IF($A170="","",IF(COUNTIFS(控制措施表!$B:$B,$A170,控制措施表!$C:$C,$F170,控制措施表!$F:$F,"是")=0,IF(COUNTIFS(控制措施表!$B:$B,$A170,控制措施表!$C:$C,$F170)=0,"",MINIFS(控制措施表!$E:$E,控制措施表!$B:$B,$A170,控制措施表!$C:$C,$F170)),MINIFS(控制措施表!$E:$E,控制措施表!$B:$B,$A170,控制措施表!$C:$C,$F170,控制措施表!$F:$F,"是")))</f>
        <v/>
      </c>
      <c r="S170" s="24">
        <f>IF($A170="","",IF(R170="",0,VLOOKUP(R170,参数配置!$D$4:$E$8,2,FALSE)))</f>
        <v/>
      </c>
      <c r="T170" s="23">
        <f>IF($A170="","",IF(Q170="","",ROUND(Q170*(1-S170),2)))</f>
        <v/>
      </c>
      <c r="U170" s="8">
        <f>IF($A170="","",IF(T170="","",IF(T170&gt;=参数配置!$B$14,"极高",IF(T170&gt;=参数配置!$B$15,"高",IF(T170&gt;=参数配置!$B$16,"中",IF(T170&gt;=参数配置!$B$17,"低","极低"))))))</f>
        <v/>
      </c>
      <c r="V170" s="8">
        <f>IF($A170="","",IF(P170="","",ROUND(P170,0)))</f>
        <v/>
      </c>
      <c r="W170" s="8">
        <f>IF($A170="","",IF(Q170="","",ROUND(Q170,0)))</f>
        <v/>
      </c>
      <c r="X170" s="8">
        <f>IF($A170="","",IF(U170="","",IF(U170="极高","每年必审",IF(U170="高","每年审计",IF(U170="中","两年一轮","按需抽查")))))</f>
        <v/>
      </c>
      <c r="Y170" s="24">
        <f>IF($A170="","",IF(OR(Q170="",Q170=0),"",(Q170-T170)/Q170))</f>
        <v/>
      </c>
    </row>
    <row r="171">
      <c r="P171" s="23">
        <f>IF($A171="","",IF(COUNT(H171:O171)=0,"",ROUND(MAX(SUMPRODUCT(H171:O171,IFERROR(VLOOKUP($C171,参数配置!$A$26:$I$38,{2,3,4,5,6,7,8,9},FALSE),VLOOKUP(参数配置!$A$26,参数配置!$A$26:$I$38,{2,3,4,5,6,7,8,9},FALSE)))/SUMPRODUCT(IFERROR(VLOOKUP($C171,参数配置!$A$26:$I$38,{2,3,4,5,6,7,8,9},FALSE),VLOOKUP(参数配置!$A$26,参数配置!$A$26:$I$38,{2,3,4,5,6,7,8,9},FALSE)),--(H171:O171&lt;&gt;"")),参数配置!$E$13*MAX(H171:O171)),2)))</f>
        <v/>
      </c>
      <c r="Q171" s="23">
        <f>IF($A171="","",IF(P171="","",ROUND(G171*P171,2)))</f>
        <v/>
      </c>
      <c r="R171" s="8">
        <f>IF($A171="","",IF(COUNTIFS(控制措施表!$B:$B,$A171,控制措施表!$C:$C,$F171,控制措施表!$F:$F,"是")=0,IF(COUNTIFS(控制措施表!$B:$B,$A171,控制措施表!$C:$C,$F171)=0,"",MINIFS(控制措施表!$E:$E,控制措施表!$B:$B,$A171,控制措施表!$C:$C,$F171)),MINIFS(控制措施表!$E:$E,控制措施表!$B:$B,$A171,控制措施表!$C:$C,$F171,控制措施表!$F:$F,"是")))</f>
        <v/>
      </c>
      <c r="S171" s="24">
        <f>IF($A171="","",IF(R171="",0,VLOOKUP(R171,参数配置!$D$4:$E$8,2,FALSE)))</f>
        <v/>
      </c>
      <c r="T171" s="23">
        <f>IF($A171="","",IF(Q171="","",ROUND(Q171*(1-S171),2)))</f>
        <v/>
      </c>
      <c r="U171" s="8">
        <f>IF($A171="","",IF(T171="","",IF(T171&gt;=参数配置!$B$14,"极高",IF(T171&gt;=参数配置!$B$15,"高",IF(T171&gt;=参数配置!$B$16,"中",IF(T171&gt;=参数配置!$B$17,"低","极低"))))))</f>
        <v/>
      </c>
      <c r="V171" s="8">
        <f>IF($A171="","",IF(P171="","",ROUND(P171,0)))</f>
        <v/>
      </c>
      <c r="W171" s="8">
        <f>IF($A171="","",IF(Q171="","",ROUND(Q171,0)))</f>
        <v/>
      </c>
      <c r="X171" s="8">
        <f>IF($A171="","",IF(U171="","",IF(U171="极高","每年必审",IF(U171="高","每年审计",IF(U171="中","两年一轮","按需抽查")))))</f>
        <v/>
      </c>
      <c r="Y171" s="24">
        <f>IF($A171="","",IF(OR(Q171="",Q171=0),"",(Q171-T171)/Q171))</f>
        <v/>
      </c>
    </row>
    <row r="172">
      <c r="P172" s="23">
        <f>IF($A172="","",IF(COUNT(H172:O172)=0,"",ROUND(MAX(SUMPRODUCT(H172:O172,IFERROR(VLOOKUP($C172,参数配置!$A$26:$I$38,{2,3,4,5,6,7,8,9},FALSE),VLOOKUP(参数配置!$A$26,参数配置!$A$26:$I$38,{2,3,4,5,6,7,8,9},FALSE)))/SUMPRODUCT(IFERROR(VLOOKUP($C172,参数配置!$A$26:$I$38,{2,3,4,5,6,7,8,9},FALSE),VLOOKUP(参数配置!$A$26,参数配置!$A$26:$I$38,{2,3,4,5,6,7,8,9},FALSE)),--(H172:O172&lt;&gt;"")),参数配置!$E$13*MAX(H172:O172)),2)))</f>
        <v/>
      </c>
      <c r="Q172" s="23">
        <f>IF($A172="","",IF(P172="","",ROUND(G172*P172,2)))</f>
        <v/>
      </c>
      <c r="R172" s="8">
        <f>IF($A172="","",IF(COUNTIFS(控制措施表!$B:$B,$A172,控制措施表!$C:$C,$F172,控制措施表!$F:$F,"是")=0,IF(COUNTIFS(控制措施表!$B:$B,$A172,控制措施表!$C:$C,$F172)=0,"",MINIFS(控制措施表!$E:$E,控制措施表!$B:$B,$A172,控制措施表!$C:$C,$F172)),MINIFS(控制措施表!$E:$E,控制措施表!$B:$B,$A172,控制措施表!$C:$C,$F172,控制措施表!$F:$F,"是")))</f>
        <v/>
      </c>
      <c r="S172" s="24">
        <f>IF($A172="","",IF(R172="",0,VLOOKUP(R172,参数配置!$D$4:$E$8,2,FALSE)))</f>
        <v/>
      </c>
      <c r="T172" s="23">
        <f>IF($A172="","",IF(Q172="","",ROUND(Q172*(1-S172),2)))</f>
        <v/>
      </c>
      <c r="U172" s="8">
        <f>IF($A172="","",IF(T172="","",IF(T172&gt;=参数配置!$B$14,"极高",IF(T172&gt;=参数配置!$B$15,"高",IF(T172&gt;=参数配置!$B$16,"中",IF(T172&gt;=参数配置!$B$17,"低","极低"))))))</f>
        <v/>
      </c>
      <c r="V172" s="8">
        <f>IF($A172="","",IF(P172="","",ROUND(P172,0)))</f>
        <v/>
      </c>
      <c r="W172" s="8">
        <f>IF($A172="","",IF(Q172="","",ROUND(Q172,0)))</f>
        <v/>
      </c>
      <c r="X172" s="8">
        <f>IF($A172="","",IF(U172="","",IF(U172="极高","每年必审",IF(U172="高","每年审计",IF(U172="中","两年一轮","按需抽查")))))</f>
        <v/>
      </c>
      <c r="Y172" s="24">
        <f>IF($A172="","",IF(OR(Q172="",Q172=0),"",(Q172-T172)/Q172))</f>
        <v/>
      </c>
    </row>
    <row r="173">
      <c r="P173" s="23">
        <f>IF($A173="","",IF(COUNT(H173:O173)=0,"",ROUND(MAX(SUMPRODUCT(H173:O173,IFERROR(VLOOKUP($C173,参数配置!$A$26:$I$38,{2,3,4,5,6,7,8,9},FALSE),VLOOKUP(参数配置!$A$26,参数配置!$A$26:$I$38,{2,3,4,5,6,7,8,9},FALSE)))/SUMPRODUCT(IFERROR(VLOOKUP($C173,参数配置!$A$26:$I$38,{2,3,4,5,6,7,8,9},FALSE),VLOOKUP(参数配置!$A$26,参数配置!$A$26:$I$38,{2,3,4,5,6,7,8,9},FALSE)),--(H173:O173&lt;&gt;"")),参数配置!$E$13*MAX(H173:O173)),2)))</f>
        <v/>
      </c>
      <c r="Q173" s="23">
        <f>IF($A173="","",IF(P173="","",ROUND(G173*P173,2)))</f>
        <v/>
      </c>
      <c r="R173" s="8">
        <f>IF($A173="","",IF(COUNTIFS(控制措施表!$B:$B,$A173,控制措施表!$C:$C,$F173,控制措施表!$F:$F,"是")=0,IF(COUNTIFS(控制措施表!$B:$B,$A173,控制措施表!$C:$C,$F173)=0,"",MINIFS(控制措施表!$E:$E,控制措施表!$B:$B,$A173,控制措施表!$C:$C,$F173)),MINIFS(控制措施表!$E:$E,控制措施表!$B:$B,$A173,控制措施表!$C:$C,$F173,控制措施表!$F:$F,"是")))</f>
        <v/>
      </c>
      <c r="S173" s="24">
        <f>IF($A173="","",IF(R173="",0,VLOOKUP(R173,参数配置!$D$4:$E$8,2,FALSE)))</f>
        <v/>
      </c>
      <c r="T173" s="23">
        <f>IF($A173="","",IF(Q173="","",ROUND(Q173*(1-S173),2)))</f>
        <v/>
      </c>
      <c r="U173" s="8">
        <f>IF($A173="","",IF(T173="","",IF(T173&gt;=参数配置!$B$14,"极高",IF(T173&gt;=参数配置!$B$15,"高",IF(T173&gt;=参数配置!$B$16,"中",IF(T173&gt;=参数配置!$B$17,"低","极低"))))))</f>
        <v/>
      </c>
      <c r="V173" s="8">
        <f>IF($A173="","",IF(P173="","",ROUND(P173,0)))</f>
        <v/>
      </c>
      <c r="W173" s="8">
        <f>IF($A173="","",IF(Q173="","",ROUND(Q173,0)))</f>
        <v/>
      </c>
      <c r="X173" s="8">
        <f>IF($A173="","",IF(U173="","",IF(U173="极高","每年必审",IF(U173="高","每年审计",IF(U173="中","两年一轮","按需抽查")))))</f>
        <v/>
      </c>
      <c r="Y173" s="24">
        <f>IF($A173="","",IF(OR(Q173="",Q173=0),"",(Q173-T173)/Q173))</f>
        <v/>
      </c>
    </row>
    <row r="174">
      <c r="P174" s="23">
        <f>IF($A174="","",IF(COUNT(H174:O174)=0,"",ROUND(MAX(SUMPRODUCT(H174:O174,IFERROR(VLOOKUP($C174,参数配置!$A$26:$I$38,{2,3,4,5,6,7,8,9},FALSE),VLOOKUP(参数配置!$A$26,参数配置!$A$26:$I$38,{2,3,4,5,6,7,8,9},FALSE)))/SUMPRODUCT(IFERROR(VLOOKUP($C174,参数配置!$A$26:$I$38,{2,3,4,5,6,7,8,9},FALSE),VLOOKUP(参数配置!$A$26,参数配置!$A$26:$I$38,{2,3,4,5,6,7,8,9},FALSE)),--(H174:O174&lt;&gt;"")),参数配置!$E$13*MAX(H174:O174)),2)))</f>
        <v/>
      </c>
      <c r="Q174" s="23">
        <f>IF($A174="","",IF(P174="","",ROUND(G174*P174,2)))</f>
        <v/>
      </c>
      <c r="R174" s="8">
        <f>IF($A174="","",IF(COUNTIFS(控制措施表!$B:$B,$A174,控制措施表!$C:$C,$F174,控制措施表!$F:$F,"是")=0,IF(COUNTIFS(控制措施表!$B:$B,$A174,控制措施表!$C:$C,$F174)=0,"",MINIFS(控制措施表!$E:$E,控制措施表!$B:$B,$A174,控制措施表!$C:$C,$F174)),MINIFS(控制措施表!$E:$E,控制措施表!$B:$B,$A174,控制措施表!$C:$C,$F174,控制措施表!$F:$F,"是")))</f>
        <v/>
      </c>
      <c r="S174" s="24">
        <f>IF($A174="","",IF(R174="",0,VLOOKUP(R174,参数配置!$D$4:$E$8,2,FALSE)))</f>
        <v/>
      </c>
      <c r="T174" s="23">
        <f>IF($A174="","",IF(Q174="","",ROUND(Q174*(1-S174),2)))</f>
        <v/>
      </c>
      <c r="U174" s="8">
        <f>IF($A174="","",IF(T174="","",IF(T174&gt;=参数配置!$B$14,"极高",IF(T174&gt;=参数配置!$B$15,"高",IF(T174&gt;=参数配置!$B$16,"中",IF(T174&gt;=参数配置!$B$17,"低","极低"))))))</f>
        <v/>
      </c>
      <c r="V174" s="8">
        <f>IF($A174="","",IF(P174="","",ROUND(P174,0)))</f>
        <v/>
      </c>
      <c r="W174" s="8">
        <f>IF($A174="","",IF(Q174="","",ROUND(Q174,0)))</f>
        <v/>
      </c>
      <c r="X174" s="8">
        <f>IF($A174="","",IF(U174="","",IF(U174="极高","每年必审",IF(U174="高","每年审计",IF(U174="中","两年一轮","按需抽查")))))</f>
        <v/>
      </c>
      <c r="Y174" s="24">
        <f>IF($A174="","",IF(OR(Q174="",Q174=0),"",(Q174-T174)/Q174))</f>
        <v/>
      </c>
    </row>
    <row r="175">
      <c r="P175" s="23">
        <f>IF($A175="","",IF(COUNT(H175:O175)=0,"",ROUND(MAX(SUMPRODUCT(H175:O175,IFERROR(VLOOKUP($C175,参数配置!$A$26:$I$38,{2,3,4,5,6,7,8,9},FALSE),VLOOKUP(参数配置!$A$26,参数配置!$A$26:$I$38,{2,3,4,5,6,7,8,9},FALSE)))/SUMPRODUCT(IFERROR(VLOOKUP($C175,参数配置!$A$26:$I$38,{2,3,4,5,6,7,8,9},FALSE),VLOOKUP(参数配置!$A$26,参数配置!$A$26:$I$38,{2,3,4,5,6,7,8,9},FALSE)),--(H175:O175&lt;&gt;"")),参数配置!$E$13*MAX(H175:O175)),2)))</f>
        <v/>
      </c>
      <c r="Q175" s="23">
        <f>IF($A175="","",IF(P175="","",ROUND(G175*P175,2)))</f>
        <v/>
      </c>
      <c r="R175" s="8">
        <f>IF($A175="","",IF(COUNTIFS(控制措施表!$B:$B,$A175,控制措施表!$C:$C,$F175,控制措施表!$F:$F,"是")=0,IF(COUNTIFS(控制措施表!$B:$B,$A175,控制措施表!$C:$C,$F175)=0,"",MINIFS(控制措施表!$E:$E,控制措施表!$B:$B,$A175,控制措施表!$C:$C,$F175)),MINIFS(控制措施表!$E:$E,控制措施表!$B:$B,$A175,控制措施表!$C:$C,$F175,控制措施表!$F:$F,"是")))</f>
        <v/>
      </c>
      <c r="S175" s="24">
        <f>IF($A175="","",IF(R175="",0,VLOOKUP(R175,参数配置!$D$4:$E$8,2,FALSE)))</f>
        <v/>
      </c>
      <c r="T175" s="23">
        <f>IF($A175="","",IF(Q175="","",ROUND(Q175*(1-S175),2)))</f>
        <v/>
      </c>
      <c r="U175" s="8">
        <f>IF($A175="","",IF(T175="","",IF(T175&gt;=参数配置!$B$14,"极高",IF(T175&gt;=参数配置!$B$15,"高",IF(T175&gt;=参数配置!$B$16,"中",IF(T175&gt;=参数配置!$B$17,"低","极低"))))))</f>
        <v/>
      </c>
      <c r="V175" s="8">
        <f>IF($A175="","",IF(P175="","",ROUND(P175,0)))</f>
        <v/>
      </c>
      <c r="W175" s="8">
        <f>IF($A175="","",IF(Q175="","",ROUND(Q175,0)))</f>
        <v/>
      </c>
      <c r="X175" s="8">
        <f>IF($A175="","",IF(U175="","",IF(U175="极高","每年必审",IF(U175="高","每年审计",IF(U175="中","两年一轮","按需抽查")))))</f>
        <v/>
      </c>
      <c r="Y175" s="24">
        <f>IF($A175="","",IF(OR(Q175="",Q175=0),"",(Q175-T175)/Q175))</f>
        <v/>
      </c>
    </row>
    <row r="176">
      <c r="P176" s="23">
        <f>IF($A176="","",IF(COUNT(H176:O176)=0,"",ROUND(MAX(SUMPRODUCT(H176:O176,IFERROR(VLOOKUP($C176,参数配置!$A$26:$I$38,{2,3,4,5,6,7,8,9},FALSE),VLOOKUP(参数配置!$A$26,参数配置!$A$26:$I$38,{2,3,4,5,6,7,8,9},FALSE)))/SUMPRODUCT(IFERROR(VLOOKUP($C176,参数配置!$A$26:$I$38,{2,3,4,5,6,7,8,9},FALSE),VLOOKUP(参数配置!$A$26,参数配置!$A$26:$I$38,{2,3,4,5,6,7,8,9},FALSE)),--(H176:O176&lt;&gt;"")),参数配置!$E$13*MAX(H176:O176)),2)))</f>
        <v/>
      </c>
      <c r="Q176" s="23">
        <f>IF($A176="","",IF(P176="","",ROUND(G176*P176,2)))</f>
        <v/>
      </c>
      <c r="R176" s="8">
        <f>IF($A176="","",IF(COUNTIFS(控制措施表!$B:$B,$A176,控制措施表!$C:$C,$F176,控制措施表!$F:$F,"是")=0,IF(COUNTIFS(控制措施表!$B:$B,$A176,控制措施表!$C:$C,$F176)=0,"",MINIFS(控制措施表!$E:$E,控制措施表!$B:$B,$A176,控制措施表!$C:$C,$F176)),MINIFS(控制措施表!$E:$E,控制措施表!$B:$B,$A176,控制措施表!$C:$C,$F176,控制措施表!$F:$F,"是")))</f>
        <v/>
      </c>
      <c r="S176" s="24">
        <f>IF($A176="","",IF(R176="",0,VLOOKUP(R176,参数配置!$D$4:$E$8,2,FALSE)))</f>
        <v/>
      </c>
      <c r="T176" s="23">
        <f>IF($A176="","",IF(Q176="","",ROUND(Q176*(1-S176),2)))</f>
        <v/>
      </c>
      <c r="U176" s="8">
        <f>IF($A176="","",IF(T176="","",IF(T176&gt;=参数配置!$B$14,"极高",IF(T176&gt;=参数配置!$B$15,"高",IF(T176&gt;=参数配置!$B$16,"中",IF(T176&gt;=参数配置!$B$17,"低","极低"))))))</f>
        <v/>
      </c>
      <c r="V176" s="8">
        <f>IF($A176="","",IF(P176="","",ROUND(P176,0)))</f>
        <v/>
      </c>
      <c r="W176" s="8">
        <f>IF($A176="","",IF(Q176="","",ROUND(Q176,0)))</f>
        <v/>
      </c>
      <c r="X176" s="8">
        <f>IF($A176="","",IF(U176="","",IF(U176="极高","每年必审",IF(U176="高","每年审计",IF(U176="中","两年一轮","按需抽查")))))</f>
        <v/>
      </c>
      <c r="Y176" s="24">
        <f>IF($A176="","",IF(OR(Q176="",Q176=0),"",(Q176-T176)/Q176))</f>
        <v/>
      </c>
    </row>
    <row r="177">
      <c r="P177" s="23">
        <f>IF($A177="","",IF(COUNT(H177:O177)=0,"",ROUND(MAX(SUMPRODUCT(H177:O177,IFERROR(VLOOKUP($C177,参数配置!$A$26:$I$38,{2,3,4,5,6,7,8,9},FALSE),VLOOKUP(参数配置!$A$26,参数配置!$A$26:$I$38,{2,3,4,5,6,7,8,9},FALSE)))/SUMPRODUCT(IFERROR(VLOOKUP($C177,参数配置!$A$26:$I$38,{2,3,4,5,6,7,8,9},FALSE),VLOOKUP(参数配置!$A$26,参数配置!$A$26:$I$38,{2,3,4,5,6,7,8,9},FALSE)),--(H177:O177&lt;&gt;"")),参数配置!$E$13*MAX(H177:O177)),2)))</f>
        <v/>
      </c>
      <c r="Q177" s="23">
        <f>IF($A177="","",IF(P177="","",ROUND(G177*P177,2)))</f>
        <v/>
      </c>
      <c r="R177" s="8">
        <f>IF($A177="","",IF(COUNTIFS(控制措施表!$B:$B,$A177,控制措施表!$C:$C,$F177,控制措施表!$F:$F,"是")=0,IF(COUNTIFS(控制措施表!$B:$B,$A177,控制措施表!$C:$C,$F177)=0,"",MINIFS(控制措施表!$E:$E,控制措施表!$B:$B,$A177,控制措施表!$C:$C,$F177)),MINIFS(控制措施表!$E:$E,控制措施表!$B:$B,$A177,控制措施表!$C:$C,$F177,控制措施表!$F:$F,"是")))</f>
        <v/>
      </c>
      <c r="S177" s="24">
        <f>IF($A177="","",IF(R177="",0,VLOOKUP(R177,参数配置!$D$4:$E$8,2,FALSE)))</f>
        <v/>
      </c>
      <c r="T177" s="23">
        <f>IF($A177="","",IF(Q177="","",ROUND(Q177*(1-S177),2)))</f>
        <v/>
      </c>
      <c r="U177" s="8">
        <f>IF($A177="","",IF(T177="","",IF(T177&gt;=参数配置!$B$14,"极高",IF(T177&gt;=参数配置!$B$15,"高",IF(T177&gt;=参数配置!$B$16,"中",IF(T177&gt;=参数配置!$B$17,"低","极低"))))))</f>
        <v/>
      </c>
      <c r="V177" s="8">
        <f>IF($A177="","",IF(P177="","",ROUND(P177,0)))</f>
        <v/>
      </c>
      <c r="W177" s="8">
        <f>IF($A177="","",IF(Q177="","",ROUND(Q177,0)))</f>
        <v/>
      </c>
      <c r="X177" s="8">
        <f>IF($A177="","",IF(U177="","",IF(U177="极高","每年必审",IF(U177="高","每年审计",IF(U177="中","两年一轮","按需抽查")))))</f>
        <v/>
      </c>
      <c r="Y177" s="24">
        <f>IF($A177="","",IF(OR(Q177="",Q177=0),"",(Q177-T177)/Q177))</f>
        <v/>
      </c>
    </row>
    <row r="178">
      <c r="P178" s="23">
        <f>IF($A178="","",IF(COUNT(H178:O178)=0,"",ROUND(MAX(SUMPRODUCT(H178:O178,IFERROR(VLOOKUP($C178,参数配置!$A$26:$I$38,{2,3,4,5,6,7,8,9},FALSE),VLOOKUP(参数配置!$A$26,参数配置!$A$26:$I$38,{2,3,4,5,6,7,8,9},FALSE)))/SUMPRODUCT(IFERROR(VLOOKUP($C178,参数配置!$A$26:$I$38,{2,3,4,5,6,7,8,9},FALSE),VLOOKUP(参数配置!$A$26,参数配置!$A$26:$I$38,{2,3,4,5,6,7,8,9},FALSE)),--(H178:O178&lt;&gt;"")),参数配置!$E$13*MAX(H178:O178)),2)))</f>
        <v/>
      </c>
      <c r="Q178" s="23">
        <f>IF($A178="","",IF(P178="","",ROUND(G178*P178,2)))</f>
        <v/>
      </c>
      <c r="R178" s="8">
        <f>IF($A178="","",IF(COUNTIFS(控制措施表!$B:$B,$A178,控制措施表!$C:$C,$F178,控制措施表!$F:$F,"是")=0,IF(COUNTIFS(控制措施表!$B:$B,$A178,控制措施表!$C:$C,$F178)=0,"",MINIFS(控制措施表!$E:$E,控制措施表!$B:$B,$A178,控制措施表!$C:$C,$F178)),MINIFS(控制措施表!$E:$E,控制措施表!$B:$B,$A178,控制措施表!$C:$C,$F178,控制措施表!$F:$F,"是")))</f>
        <v/>
      </c>
      <c r="S178" s="24">
        <f>IF($A178="","",IF(R178="",0,VLOOKUP(R178,参数配置!$D$4:$E$8,2,FALSE)))</f>
        <v/>
      </c>
      <c r="T178" s="23">
        <f>IF($A178="","",IF(Q178="","",ROUND(Q178*(1-S178),2)))</f>
        <v/>
      </c>
      <c r="U178" s="8">
        <f>IF($A178="","",IF(T178="","",IF(T178&gt;=参数配置!$B$14,"极高",IF(T178&gt;=参数配置!$B$15,"高",IF(T178&gt;=参数配置!$B$16,"中",IF(T178&gt;=参数配置!$B$17,"低","极低"))))))</f>
        <v/>
      </c>
      <c r="V178" s="8">
        <f>IF($A178="","",IF(P178="","",ROUND(P178,0)))</f>
        <v/>
      </c>
      <c r="W178" s="8">
        <f>IF($A178="","",IF(Q178="","",ROUND(Q178,0)))</f>
        <v/>
      </c>
      <c r="X178" s="8">
        <f>IF($A178="","",IF(U178="","",IF(U178="极高","每年必审",IF(U178="高","每年审计",IF(U178="中","两年一轮","按需抽查")))))</f>
        <v/>
      </c>
      <c r="Y178" s="24">
        <f>IF($A178="","",IF(OR(Q178="",Q178=0),"",(Q178-T178)/Q178))</f>
        <v/>
      </c>
    </row>
    <row r="179">
      <c r="P179" s="23">
        <f>IF($A179="","",IF(COUNT(H179:O179)=0,"",ROUND(MAX(SUMPRODUCT(H179:O179,IFERROR(VLOOKUP($C179,参数配置!$A$26:$I$38,{2,3,4,5,6,7,8,9},FALSE),VLOOKUP(参数配置!$A$26,参数配置!$A$26:$I$38,{2,3,4,5,6,7,8,9},FALSE)))/SUMPRODUCT(IFERROR(VLOOKUP($C179,参数配置!$A$26:$I$38,{2,3,4,5,6,7,8,9},FALSE),VLOOKUP(参数配置!$A$26,参数配置!$A$26:$I$38,{2,3,4,5,6,7,8,9},FALSE)),--(H179:O179&lt;&gt;"")),参数配置!$E$13*MAX(H179:O179)),2)))</f>
        <v/>
      </c>
      <c r="Q179" s="23">
        <f>IF($A179="","",IF(P179="","",ROUND(G179*P179,2)))</f>
        <v/>
      </c>
      <c r="R179" s="8">
        <f>IF($A179="","",IF(COUNTIFS(控制措施表!$B:$B,$A179,控制措施表!$C:$C,$F179,控制措施表!$F:$F,"是")=0,IF(COUNTIFS(控制措施表!$B:$B,$A179,控制措施表!$C:$C,$F179)=0,"",MINIFS(控制措施表!$E:$E,控制措施表!$B:$B,$A179,控制措施表!$C:$C,$F179)),MINIFS(控制措施表!$E:$E,控制措施表!$B:$B,$A179,控制措施表!$C:$C,$F179,控制措施表!$F:$F,"是")))</f>
        <v/>
      </c>
      <c r="S179" s="24">
        <f>IF($A179="","",IF(R179="",0,VLOOKUP(R179,参数配置!$D$4:$E$8,2,FALSE)))</f>
        <v/>
      </c>
      <c r="T179" s="23">
        <f>IF($A179="","",IF(Q179="","",ROUND(Q179*(1-S179),2)))</f>
        <v/>
      </c>
      <c r="U179" s="8">
        <f>IF($A179="","",IF(T179="","",IF(T179&gt;=参数配置!$B$14,"极高",IF(T179&gt;=参数配置!$B$15,"高",IF(T179&gt;=参数配置!$B$16,"中",IF(T179&gt;=参数配置!$B$17,"低","极低"))))))</f>
        <v/>
      </c>
      <c r="V179" s="8">
        <f>IF($A179="","",IF(P179="","",ROUND(P179,0)))</f>
        <v/>
      </c>
      <c r="W179" s="8">
        <f>IF($A179="","",IF(Q179="","",ROUND(Q179,0)))</f>
        <v/>
      </c>
      <c r="X179" s="8">
        <f>IF($A179="","",IF(U179="","",IF(U179="极高","每年必审",IF(U179="高","每年审计",IF(U179="中","两年一轮","按需抽查")))))</f>
        <v/>
      </c>
      <c r="Y179" s="24">
        <f>IF($A179="","",IF(OR(Q179="",Q179=0),"",(Q179-T179)/Q179))</f>
        <v/>
      </c>
    </row>
    <row r="180">
      <c r="P180" s="23">
        <f>IF($A180="","",IF(COUNT(H180:O180)=0,"",ROUND(MAX(SUMPRODUCT(H180:O180,IFERROR(VLOOKUP($C180,参数配置!$A$26:$I$38,{2,3,4,5,6,7,8,9},FALSE),VLOOKUP(参数配置!$A$26,参数配置!$A$26:$I$38,{2,3,4,5,6,7,8,9},FALSE)))/SUMPRODUCT(IFERROR(VLOOKUP($C180,参数配置!$A$26:$I$38,{2,3,4,5,6,7,8,9},FALSE),VLOOKUP(参数配置!$A$26,参数配置!$A$26:$I$38,{2,3,4,5,6,7,8,9},FALSE)),--(H180:O180&lt;&gt;"")),参数配置!$E$13*MAX(H180:O180)),2)))</f>
        <v/>
      </c>
      <c r="Q180" s="23">
        <f>IF($A180="","",IF(P180="","",ROUND(G180*P180,2)))</f>
        <v/>
      </c>
      <c r="R180" s="8">
        <f>IF($A180="","",IF(COUNTIFS(控制措施表!$B:$B,$A180,控制措施表!$C:$C,$F180,控制措施表!$F:$F,"是")=0,IF(COUNTIFS(控制措施表!$B:$B,$A180,控制措施表!$C:$C,$F180)=0,"",MINIFS(控制措施表!$E:$E,控制措施表!$B:$B,$A180,控制措施表!$C:$C,$F180)),MINIFS(控制措施表!$E:$E,控制措施表!$B:$B,$A180,控制措施表!$C:$C,$F180,控制措施表!$F:$F,"是")))</f>
        <v/>
      </c>
      <c r="S180" s="24">
        <f>IF($A180="","",IF(R180="",0,VLOOKUP(R180,参数配置!$D$4:$E$8,2,FALSE)))</f>
        <v/>
      </c>
      <c r="T180" s="23">
        <f>IF($A180="","",IF(Q180="","",ROUND(Q180*(1-S180),2)))</f>
        <v/>
      </c>
      <c r="U180" s="8">
        <f>IF($A180="","",IF(T180="","",IF(T180&gt;=参数配置!$B$14,"极高",IF(T180&gt;=参数配置!$B$15,"高",IF(T180&gt;=参数配置!$B$16,"中",IF(T180&gt;=参数配置!$B$17,"低","极低"))))))</f>
        <v/>
      </c>
      <c r="V180" s="8">
        <f>IF($A180="","",IF(P180="","",ROUND(P180,0)))</f>
        <v/>
      </c>
      <c r="W180" s="8">
        <f>IF($A180="","",IF(Q180="","",ROUND(Q180,0)))</f>
        <v/>
      </c>
      <c r="X180" s="8">
        <f>IF($A180="","",IF(U180="","",IF(U180="极高","每年必审",IF(U180="高","每年审计",IF(U180="中","两年一轮","按需抽查")))))</f>
        <v/>
      </c>
      <c r="Y180" s="24">
        <f>IF($A180="","",IF(OR(Q180="",Q180=0),"",(Q180-T180)/Q180))</f>
        <v/>
      </c>
    </row>
    <row r="181">
      <c r="P181" s="23">
        <f>IF($A181="","",IF(COUNT(H181:O181)=0,"",ROUND(MAX(SUMPRODUCT(H181:O181,IFERROR(VLOOKUP($C181,参数配置!$A$26:$I$38,{2,3,4,5,6,7,8,9},FALSE),VLOOKUP(参数配置!$A$26,参数配置!$A$26:$I$38,{2,3,4,5,6,7,8,9},FALSE)))/SUMPRODUCT(IFERROR(VLOOKUP($C181,参数配置!$A$26:$I$38,{2,3,4,5,6,7,8,9},FALSE),VLOOKUP(参数配置!$A$26,参数配置!$A$26:$I$38,{2,3,4,5,6,7,8,9},FALSE)),--(H181:O181&lt;&gt;"")),参数配置!$E$13*MAX(H181:O181)),2)))</f>
        <v/>
      </c>
      <c r="Q181" s="23">
        <f>IF($A181="","",IF(P181="","",ROUND(G181*P181,2)))</f>
        <v/>
      </c>
      <c r="R181" s="8">
        <f>IF($A181="","",IF(COUNTIFS(控制措施表!$B:$B,$A181,控制措施表!$C:$C,$F181,控制措施表!$F:$F,"是")=0,IF(COUNTIFS(控制措施表!$B:$B,$A181,控制措施表!$C:$C,$F181)=0,"",MINIFS(控制措施表!$E:$E,控制措施表!$B:$B,$A181,控制措施表!$C:$C,$F181)),MINIFS(控制措施表!$E:$E,控制措施表!$B:$B,$A181,控制措施表!$C:$C,$F181,控制措施表!$F:$F,"是")))</f>
        <v/>
      </c>
      <c r="S181" s="24">
        <f>IF($A181="","",IF(R181="",0,VLOOKUP(R181,参数配置!$D$4:$E$8,2,FALSE)))</f>
        <v/>
      </c>
      <c r="T181" s="23">
        <f>IF($A181="","",IF(Q181="","",ROUND(Q181*(1-S181),2)))</f>
        <v/>
      </c>
      <c r="U181" s="8">
        <f>IF($A181="","",IF(T181="","",IF(T181&gt;=参数配置!$B$14,"极高",IF(T181&gt;=参数配置!$B$15,"高",IF(T181&gt;=参数配置!$B$16,"中",IF(T181&gt;=参数配置!$B$17,"低","极低"))))))</f>
        <v/>
      </c>
      <c r="V181" s="8">
        <f>IF($A181="","",IF(P181="","",ROUND(P181,0)))</f>
        <v/>
      </c>
      <c r="W181" s="8">
        <f>IF($A181="","",IF(Q181="","",ROUND(Q181,0)))</f>
        <v/>
      </c>
      <c r="X181" s="8">
        <f>IF($A181="","",IF(U181="","",IF(U181="极高","每年必审",IF(U181="高","每年审计",IF(U181="中","两年一轮","按需抽查")))))</f>
        <v/>
      </c>
      <c r="Y181" s="24">
        <f>IF($A181="","",IF(OR(Q181="",Q181=0),"",(Q181-T181)/Q181))</f>
        <v/>
      </c>
    </row>
    <row r="182">
      <c r="P182" s="23">
        <f>IF($A182="","",IF(COUNT(H182:O182)=0,"",ROUND(MAX(SUMPRODUCT(H182:O182,IFERROR(VLOOKUP($C182,参数配置!$A$26:$I$38,{2,3,4,5,6,7,8,9},FALSE),VLOOKUP(参数配置!$A$26,参数配置!$A$26:$I$38,{2,3,4,5,6,7,8,9},FALSE)))/SUMPRODUCT(IFERROR(VLOOKUP($C182,参数配置!$A$26:$I$38,{2,3,4,5,6,7,8,9},FALSE),VLOOKUP(参数配置!$A$26,参数配置!$A$26:$I$38,{2,3,4,5,6,7,8,9},FALSE)),--(H182:O182&lt;&gt;"")),参数配置!$E$13*MAX(H182:O182)),2)))</f>
        <v/>
      </c>
      <c r="Q182" s="23">
        <f>IF($A182="","",IF(P182="","",ROUND(G182*P182,2)))</f>
        <v/>
      </c>
      <c r="R182" s="8">
        <f>IF($A182="","",IF(COUNTIFS(控制措施表!$B:$B,$A182,控制措施表!$C:$C,$F182,控制措施表!$F:$F,"是")=0,IF(COUNTIFS(控制措施表!$B:$B,$A182,控制措施表!$C:$C,$F182)=0,"",MINIFS(控制措施表!$E:$E,控制措施表!$B:$B,$A182,控制措施表!$C:$C,$F182)),MINIFS(控制措施表!$E:$E,控制措施表!$B:$B,$A182,控制措施表!$C:$C,$F182,控制措施表!$F:$F,"是")))</f>
        <v/>
      </c>
      <c r="S182" s="24">
        <f>IF($A182="","",IF(R182="",0,VLOOKUP(R182,参数配置!$D$4:$E$8,2,FALSE)))</f>
        <v/>
      </c>
      <c r="T182" s="23">
        <f>IF($A182="","",IF(Q182="","",ROUND(Q182*(1-S182),2)))</f>
        <v/>
      </c>
      <c r="U182" s="8">
        <f>IF($A182="","",IF(T182="","",IF(T182&gt;=参数配置!$B$14,"极高",IF(T182&gt;=参数配置!$B$15,"高",IF(T182&gt;=参数配置!$B$16,"中",IF(T182&gt;=参数配置!$B$17,"低","极低"))))))</f>
        <v/>
      </c>
      <c r="V182" s="8">
        <f>IF($A182="","",IF(P182="","",ROUND(P182,0)))</f>
        <v/>
      </c>
      <c r="W182" s="8">
        <f>IF($A182="","",IF(Q182="","",ROUND(Q182,0)))</f>
        <v/>
      </c>
      <c r="X182" s="8">
        <f>IF($A182="","",IF(U182="","",IF(U182="极高","每年必审",IF(U182="高","每年审计",IF(U182="中","两年一轮","按需抽查")))))</f>
        <v/>
      </c>
      <c r="Y182" s="24">
        <f>IF($A182="","",IF(OR(Q182="",Q182=0),"",(Q182-T182)/Q182))</f>
        <v/>
      </c>
    </row>
    <row r="183">
      <c r="P183" s="23">
        <f>IF($A183="","",IF(COUNT(H183:O183)=0,"",ROUND(MAX(SUMPRODUCT(H183:O183,IFERROR(VLOOKUP($C183,参数配置!$A$26:$I$38,{2,3,4,5,6,7,8,9},FALSE),VLOOKUP(参数配置!$A$26,参数配置!$A$26:$I$38,{2,3,4,5,6,7,8,9},FALSE)))/SUMPRODUCT(IFERROR(VLOOKUP($C183,参数配置!$A$26:$I$38,{2,3,4,5,6,7,8,9},FALSE),VLOOKUP(参数配置!$A$26,参数配置!$A$26:$I$38,{2,3,4,5,6,7,8,9},FALSE)),--(H183:O183&lt;&gt;"")),参数配置!$E$13*MAX(H183:O183)),2)))</f>
        <v/>
      </c>
      <c r="Q183" s="23">
        <f>IF($A183="","",IF(P183="","",ROUND(G183*P183,2)))</f>
        <v/>
      </c>
      <c r="R183" s="8">
        <f>IF($A183="","",IF(COUNTIFS(控制措施表!$B:$B,$A183,控制措施表!$C:$C,$F183,控制措施表!$F:$F,"是")=0,IF(COUNTIFS(控制措施表!$B:$B,$A183,控制措施表!$C:$C,$F183)=0,"",MINIFS(控制措施表!$E:$E,控制措施表!$B:$B,$A183,控制措施表!$C:$C,$F183)),MINIFS(控制措施表!$E:$E,控制措施表!$B:$B,$A183,控制措施表!$C:$C,$F183,控制措施表!$F:$F,"是")))</f>
        <v/>
      </c>
      <c r="S183" s="24">
        <f>IF($A183="","",IF(R183="",0,VLOOKUP(R183,参数配置!$D$4:$E$8,2,FALSE)))</f>
        <v/>
      </c>
      <c r="T183" s="23">
        <f>IF($A183="","",IF(Q183="","",ROUND(Q183*(1-S183),2)))</f>
        <v/>
      </c>
      <c r="U183" s="8">
        <f>IF($A183="","",IF(T183="","",IF(T183&gt;=参数配置!$B$14,"极高",IF(T183&gt;=参数配置!$B$15,"高",IF(T183&gt;=参数配置!$B$16,"中",IF(T183&gt;=参数配置!$B$17,"低","极低"))))))</f>
        <v/>
      </c>
      <c r="V183" s="8">
        <f>IF($A183="","",IF(P183="","",ROUND(P183,0)))</f>
        <v/>
      </c>
      <c r="W183" s="8">
        <f>IF($A183="","",IF(Q183="","",ROUND(Q183,0)))</f>
        <v/>
      </c>
      <c r="X183" s="8">
        <f>IF($A183="","",IF(U183="","",IF(U183="极高","每年必审",IF(U183="高","每年审计",IF(U183="中","两年一轮","按需抽查")))))</f>
        <v/>
      </c>
      <c r="Y183" s="24">
        <f>IF($A183="","",IF(OR(Q183="",Q183=0),"",(Q183-T183)/Q183))</f>
        <v/>
      </c>
    </row>
    <row r="184">
      <c r="P184" s="23">
        <f>IF($A184="","",IF(COUNT(H184:O184)=0,"",ROUND(MAX(SUMPRODUCT(H184:O184,IFERROR(VLOOKUP($C184,参数配置!$A$26:$I$38,{2,3,4,5,6,7,8,9},FALSE),VLOOKUP(参数配置!$A$26,参数配置!$A$26:$I$38,{2,3,4,5,6,7,8,9},FALSE)))/SUMPRODUCT(IFERROR(VLOOKUP($C184,参数配置!$A$26:$I$38,{2,3,4,5,6,7,8,9},FALSE),VLOOKUP(参数配置!$A$26,参数配置!$A$26:$I$38,{2,3,4,5,6,7,8,9},FALSE)),--(H184:O184&lt;&gt;"")),参数配置!$E$13*MAX(H184:O184)),2)))</f>
        <v/>
      </c>
      <c r="Q184" s="23">
        <f>IF($A184="","",IF(P184="","",ROUND(G184*P184,2)))</f>
        <v/>
      </c>
      <c r="R184" s="8">
        <f>IF($A184="","",IF(COUNTIFS(控制措施表!$B:$B,$A184,控制措施表!$C:$C,$F184,控制措施表!$F:$F,"是")=0,IF(COUNTIFS(控制措施表!$B:$B,$A184,控制措施表!$C:$C,$F184)=0,"",MINIFS(控制措施表!$E:$E,控制措施表!$B:$B,$A184,控制措施表!$C:$C,$F184)),MINIFS(控制措施表!$E:$E,控制措施表!$B:$B,$A184,控制措施表!$C:$C,$F184,控制措施表!$F:$F,"是")))</f>
        <v/>
      </c>
      <c r="S184" s="24">
        <f>IF($A184="","",IF(R184="",0,VLOOKUP(R184,参数配置!$D$4:$E$8,2,FALSE)))</f>
        <v/>
      </c>
      <c r="T184" s="23">
        <f>IF($A184="","",IF(Q184="","",ROUND(Q184*(1-S184),2)))</f>
        <v/>
      </c>
      <c r="U184" s="8">
        <f>IF($A184="","",IF(T184="","",IF(T184&gt;=参数配置!$B$14,"极高",IF(T184&gt;=参数配置!$B$15,"高",IF(T184&gt;=参数配置!$B$16,"中",IF(T184&gt;=参数配置!$B$17,"低","极低"))))))</f>
        <v/>
      </c>
      <c r="V184" s="8">
        <f>IF($A184="","",IF(P184="","",ROUND(P184,0)))</f>
        <v/>
      </c>
      <c r="W184" s="8">
        <f>IF($A184="","",IF(Q184="","",ROUND(Q184,0)))</f>
        <v/>
      </c>
      <c r="X184" s="8">
        <f>IF($A184="","",IF(U184="","",IF(U184="极高","每年必审",IF(U184="高","每年审计",IF(U184="中","两年一轮","按需抽查")))))</f>
        <v/>
      </c>
      <c r="Y184" s="24">
        <f>IF($A184="","",IF(OR(Q184="",Q184=0),"",(Q184-T184)/Q184))</f>
        <v/>
      </c>
    </row>
    <row r="185">
      <c r="P185" s="23">
        <f>IF($A185="","",IF(COUNT(H185:O185)=0,"",ROUND(MAX(SUMPRODUCT(H185:O185,IFERROR(VLOOKUP($C185,参数配置!$A$26:$I$38,{2,3,4,5,6,7,8,9},FALSE),VLOOKUP(参数配置!$A$26,参数配置!$A$26:$I$38,{2,3,4,5,6,7,8,9},FALSE)))/SUMPRODUCT(IFERROR(VLOOKUP($C185,参数配置!$A$26:$I$38,{2,3,4,5,6,7,8,9},FALSE),VLOOKUP(参数配置!$A$26,参数配置!$A$26:$I$38,{2,3,4,5,6,7,8,9},FALSE)),--(H185:O185&lt;&gt;"")),参数配置!$E$13*MAX(H185:O185)),2)))</f>
        <v/>
      </c>
      <c r="Q185" s="23">
        <f>IF($A185="","",IF(P185="","",ROUND(G185*P185,2)))</f>
        <v/>
      </c>
      <c r="R185" s="8">
        <f>IF($A185="","",IF(COUNTIFS(控制措施表!$B:$B,$A185,控制措施表!$C:$C,$F185,控制措施表!$F:$F,"是")=0,IF(COUNTIFS(控制措施表!$B:$B,$A185,控制措施表!$C:$C,$F185)=0,"",MINIFS(控制措施表!$E:$E,控制措施表!$B:$B,$A185,控制措施表!$C:$C,$F185)),MINIFS(控制措施表!$E:$E,控制措施表!$B:$B,$A185,控制措施表!$C:$C,$F185,控制措施表!$F:$F,"是")))</f>
        <v/>
      </c>
      <c r="S185" s="24">
        <f>IF($A185="","",IF(R185="",0,VLOOKUP(R185,参数配置!$D$4:$E$8,2,FALSE)))</f>
        <v/>
      </c>
      <c r="T185" s="23">
        <f>IF($A185="","",IF(Q185="","",ROUND(Q185*(1-S185),2)))</f>
        <v/>
      </c>
      <c r="U185" s="8">
        <f>IF($A185="","",IF(T185="","",IF(T185&gt;=参数配置!$B$14,"极高",IF(T185&gt;=参数配置!$B$15,"高",IF(T185&gt;=参数配置!$B$16,"中",IF(T185&gt;=参数配置!$B$17,"低","极低"))))))</f>
        <v/>
      </c>
      <c r="V185" s="8">
        <f>IF($A185="","",IF(P185="","",ROUND(P185,0)))</f>
        <v/>
      </c>
      <c r="W185" s="8">
        <f>IF($A185="","",IF(Q185="","",ROUND(Q185,0)))</f>
        <v/>
      </c>
      <c r="X185" s="8">
        <f>IF($A185="","",IF(U185="","",IF(U185="极高","每年必审",IF(U185="高","每年审计",IF(U185="中","两年一轮","按需抽查")))))</f>
        <v/>
      </c>
      <c r="Y185" s="24">
        <f>IF($A185="","",IF(OR(Q185="",Q185=0),"",(Q185-T185)/Q185))</f>
        <v/>
      </c>
    </row>
    <row r="186">
      <c r="P186" s="23">
        <f>IF($A186="","",IF(COUNT(H186:O186)=0,"",ROUND(MAX(SUMPRODUCT(H186:O186,IFERROR(VLOOKUP($C186,参数配置!$A$26:$I$38,{2,3,4,5,6,7,8,9},FALSE),VLOOKUP(参数配置!$A$26,参数配置!$A$26:$I$38,{2,3,4,5,6,7,8,9},FALSE)))/SUMPRODUCT(IFERROR(VLOOKUP($C186,参数配置!$A$26:$I$38,{2,3,4,5,6,7,8,9},FALSE),VLOOKUP(参数配置!$A$26,参数配置!$A$26:$I$38,{2,3,4,5,6,7,8,9},FALSE)),--(H186:O186&lt;&gt;"")),参数配置!$E$13*MAX(H186:O186)),2)))</f>
        <v/>
      </c>
      <c r="Q186" s="23">
        <f>IF($A186="","",IF(P186="","",ROUND(G186*P186,2)))</f>
        <v/>
      </c>
      <c r="R186" s="8">
        <f>IF($A186="","",IF(COUNTIFS(控制措施表!$B:$B,$A186,控制措施表!$C:$C,$F186,控制措施表!$F:$F,"是")=0,IF(COUNTIFS(控制措施表!$B:$B,$A186,控制措施表!$C:$C,$F186)=0,"",MINIFS(控制措施表!$E:$E,控制措施表!$B:$B,$A186,控制措施表!$C:$C,$F186)),MINIFS(控制措施表!$E:$E,控制措施表!$B:$B,$A186,控制措施表!$C:$C,$F186,控制措施表!$F:$F,"是")))</f>
        <v/>
      </c>
      <c r="S186" s="24">
        <f>IF($A186="","",IF(R186="",0,VLOOKUP(R186,参数配置!$D$4:$E$8,2,FALSE)))</f>
        <v/>
      </c>
      <c r="T186" s="23">
        <f>IF($A186="","",IF(Q186="","",ROUND(Q186*(1-S186),2)))</f>
        <v/>
      </c>
      <c r="U186" s="8">
        <f>IF($A186="","",IF(T186="","",IF(T186&gt;=参数配置!$B$14,"极高",IF(T186&gt;=参数配置!$B$15,"高",IF(T186&gt;=参数配置!$B$16,"中",IF(T186&gt;=参数配置!$B$17,"低","极低"))))))</f>
        <v/>
      </c>
      <c r="V186" s="8">
        <f>IF($A186="","",IF(P186="","",ROUND(P186,0)))</f>
        <v/>
      </c>
      <c r="W186" s="8">
        <f>IF($A186="","",IF(Q186="","",ROUND(Q186,0)))</f>
        <v/>
      </c>
      <c r="X186" s="8">
        <f>IF($A186="","",IF(U186="","",IF(U186="极高","每年必审",IF(U186="高","每年审计",IF(U186="中","两年一轮","按需抽查")))))</f>
        <v/>
      </c>
      <c r="Y186" s="24">
        <f>IF($A186="","",IF(OR(Q186="",Q186=0),"",(Q186-T186)/Q186))</f>
        <v/>
      </c>
    </row>
    <row r="187">
      <c r="P187" s="23">
        <f>IF($A187="","",IF(COUNT(H187:O187)=0,"",ROUND(MAX(SUMPRODUCT(H187:O187,IFERROR(VLOOKUP($C187,参数配置!$A$26:$I$38,{2,3,4,5,6,7,8,9},FALSE),VLOOKUP(参数配置!$A$26,参数配置!$A$26:$I$38,{2,3,4,5,6,7,8,9},FALSE)))/SUMPRODUCT(IFERROR(VLOOKUP($C187,参数配置!$A$26:$I$38,{2,3,4,5,6,7,8,9},FALSE),VLOOKUP(参数配置!$A$26,参数配置!$A$26:$I$38,{2,3,4,5,6,7,8,9},FALSE)),--(H187:O187&lt;&gt;"")),参数配置!$E$13*MAX(H187:O187)),2)))</f>
        <v/>
      </c>
      <c r="Q187" s="23">
        <f>IF($A187="","",IF(P187="","",ROUND(G187*P187,2)))</f>
        <v/>
      </c>
      <c r="R187" s="8">
        <f>IF($A187="","",IF(COUNTIFS(控制措施表!$B:$B,$A187,控制措施表!$C:$C,$F187,控制措施表!$F:$F,"是")=0,IF(COUNTIFS(控制措施表!$B:$B,$A187,控制措施表!$C:$C,$F187)=0,"",MINIFS(控制措施表!$E:$E,控制措施表!$B:$B,$A187,控制措施表!$C:$C,$F187)),MINIFS(控制措施表!$E:$E,控制措施表!$B:$B,$A187,控制措施表!$C:$C,$F187,控制措施表!$F:$F,"是")))</f>
        <v/>
      </c>
      <c r="S187" s="24">
        <f>IF($A187="","",IF(R187="",0,VLOOKUP(R187,参数配置!$D$4:$E$8,2,FALSE)))</f>
        <v/>
      </c>
      <c r="T187" s="23">
        <f>IF($A187="","",IF(Q187="","",ROUND(Q187*(1-S187),2)))</f>
        <v/>
      </c>
      <c r="U187" s="8">
        <f>IF($A187="","",IF(T187="","",IF(T187&gt;=参数配置!$B$14,"极高",IF(T187&gt;=参数配置!$B$15,"高",IF(T187&gt;=参数配置!$B$16,"中",IF(T187&gt;=参数配置!$B$17,"低","极低"))))))</f>
        <v/>
      </c>
      <c r="V187" s="8">
        <f>IF($A187="","",IF(P187="","",ROUND(P187,0)))</f>
        <v/>
      </c>
      <c r="W187" s="8">
        <f>IF($A187="","",IF(Q187="","",ROUND(Q187,0)))</f>
        <v/>
      </c>
      <c r="X187" s="8">
        <f>IF($A187="","",IF(U187="","",IF(U187="极高","每年必审",IF(U187="高","每年审计",IF(U187="中","两年一轮","按需抽查")))))</f>
        <v/>
      </c>
      <c r="Y187" s="24">
        <f>IF($A187="","",IF(OR(Q187="",Q187=0),"",(Q187-T187)/Q187))</f>
        <v/>
      </c>
    </row>
    <row r="188">
      <c r="P188" s="23">
        <f>IF($A188="","",IF(COUNT(H188:O188)=0,"",ROUND(MAX(SUMPRODUCT(H188:O188,IFERROR(VLOOKUP($C188,参数配置!$A$26:$I$38,{2,3,4,5,6,7,8,9},FALSE),VLOOKUP(参数配置!$A$26,参数配置!$A$26:$I$38,{2,3,4,5,6,7,8,9},FALSE)))/SUMPRODUCT(IFERROR(VLOOKUP($C188,参数配置!$A$26:$I$38,{2,3,4,5,6,7,8,9},FALSE),VLOOKUP(参数配置!$A$26,参数配置!$A$26:$I$38,{2,3,4,5,6,7,8,9},FALSE)),--(H188:O188&lt;&gt;"")),参数配置!$E$13*MAX(H188:O188)),2)))</f>
        <v/>
      </c>
      <c r="Q188" s="23">
        <f>IF($A188="","",IF(P188="","",ROUND(G188*P188,2)))</f>
        <v/>
      </c>
      <c r="R188" s="8">
        <f>IF($A188="","",IF(COUNTIFS(控制措施表!$B:$B,$A188,控制措施表!$C:$C,$F188,控制措施表!$F:$F,"是")=0,IF(COUNTIFS(控制措施表!$B:$B,$A188,控制措施表!$C:$C,$F188)=0,"",MINIFS(控制措施表!$E:$E,控制措施表!$B:$B,$A188,控制措施表!$C:$C,$F188)),MINIFS(控制措施表!$E:$E,控制措施表!$B:$B,$A188,控制措施表!$C:$C,$F188,控制措施表!$F:$F,"是")))</f>
        <v/>
      </c>
      <c r="S188" s="24">
        <f>IF($A188="","",IF(R188="",0,VLOOKUP(R188,参数配置!$D$4:$E$8,2,FALSE)))</f>
        <v/>
      </c>
      <c r="T188" s="23">
        <f>IF($A188="","",IF(Q188="","",ROUND(Q188*(1-S188),2)))</f>
        <v/>
      </c>
      <c r="U188" s="8">
        <f>IF($A188="","",IF(T188="","",IF(T188&gt;=参数配置!$B$14,"极高",IF(T188&gt;=参数配置!$B$15,"高",IF(T188&gt;=参数配置!$B$16,"中",IF(T188&gt;=参数配置!$B$17,"低","极低"))))))</f>
        <v/>
      </c>
      <c r="V188" s="8">
        <f>IF($A188="","",IF(P188="","",ROUND(P188,0)))</f>
        <v/>
      </c>
      <c r="W188" s="8">
        <f>IF($A188="","",IF(Q188="","",ROUND(Q188,0)))</f>
        <v/>
      </c>
      <c r="X188" s="8">
        <f>IF($A188="","",IF(U188="","",IF(U188="极高","每年必审",IF(U188="高","每年审计",IF(U188="中","两年一轮","按需抽查")))))</f>
        <v/>
      </c>
      <c r="Y188" s="24">
        <f>IF($A188="","",IF(OR(Q188="",Q188=0),"",(Q188-T188)/Q188))</f>
        <v/>
      </c>
    </row>
    <row r="189">
      <c r="P189" s="23">
        <f>IF($A189="","",IF(COUNT(H189:O189)=0,"",ROUND(MAX(SUMPRODUCT(H189:O189,IFERROR(VLOOKUP($C189,参数配置!$A$26:$I$38,{2,3,4,5,6,7,8,9},FALSE),VLOOKUP(参数配置!$A$26,参数配置!$A$26:$I$38,{2,3,4,5,6,7,8,9},FALSE)))/SUMPRODUCT(IFERROR(VLOOKUP($C189,参数配置!$A$26:$I$38,{2,3,4,5,6,7,8,9},FALSE),VLOOKUP(参数配置!$A$26,参数配置!$A$26:$I$38,{2,3,4,5,6,7,8,9},FALSE)),--(H189:O189&lt;&gt;"")),参数配置!$E$13*MAX(H189:O189)),2)))</f>
        <v/>
      </c>
      <c r="Q189" s="23">
        <f>IF($A189="","",IF(P189="","",ROUND(G189*P189,2)))</f>
        <v/>
      </c>
      <c r="R189" s="8">
        <f>IF($A189="","",IF(COUNTIFS(控制措施表!$B:$B,$A189,控制措施表!$C:$C,$F189,控制措施表!$F:$F,"是")=0,IF(COUNTIFS(控制措施表!$B:$B,$A189,控制措施表!$C:$C,$F189)=0,"",MINIFS(控制措施表!$E:$E,控制措施表!$B:$B,$A189,控制措施表!$C:$C,$F189)),MINIFS(控制措施表!$E:$E,控制措施表!$B:$B,$A189,控制措施表!$C:$C,$F189,控制措施表!$F:$F,"是")))</f>
        <v/>
      </c>
      <c r="S189" s="24">
        <f>IF($A189="","",IF(R189="",0,VLOOKUP(R189,参数配置!$D$4:$E$8,2,FALSE)))</f>
        <v/>
      </c>
      <c r="T189" s="23">
        <f>IF($A189="","",IF(Q189="","",ROUND(Q189*(1-S189),2)))</f>
        <v/>
      </c>
      <c r="U189" s="8">
        <f>IF($A189="","",IF(T189="","",IF(T189&gt;=参数配置!$B$14,"极高",IF(T189&gt;=参数配置!$B$15,"高",IF(T189&gt;=参数配置!$B$16,"中",IF(T189&gt;=参数配置!$B$17,"低","极低"))))))</f>
        <v/>
      </c>
      <c r="V189" s="8">
        <f>IF($A189="","",IF(P189="","",ROUND(P189,0)))</f>
        <v/>
      </c>
      <c r="W189" s="8">
        <f>IF($A189="","",IF(Q189="","",ROUND(Q189,0)))</f>
        <v/>
      </c>
      <c r="X189" s="8">
        <f>IF($A189="","",IF(U189="","",IF(U189="极高","每年必审",IF(U189="高","每年审计",IF(U189="中","两年一轮","按需抽查")))))</f>
        <v/>
      </c>
      <c r="Y189" s="24">
        <f>IF($A189="","",IF(OR(Q189="",Q189=0),"",(Q189-T189)/Q189))</f>
        <v/>
      </c>
    </row>
    <row r="190">
      <c r="P190" s="23">
        <f>IF($A190="","",IF(COUNT(H190:O190)=0,"",ROUND(MAX(SUMPRODUCT(H190:O190,IFERROR(VLOOKUP($C190,参数配置!$A$26:$I$38,{2,3,4,5,6,7,8,9},FALSE),VLOOKUP(参数配置!$A$26,参数配置!$A$26:$I$38,{2,3,4,5,6,7,8,9},FALSE)))/SUMPRODUCT(IFERROR(VLOOKUP($C190,参数配置!$A$26:$I$38,{2,3,4,5,6,7,8,9},FALSE),VLOOKUP(参数配置!$A$26,参数配置!$A$26:$I$38,{2,3,4,5,6,7,8,9},FALSE)),--(H190:O190&lt;&gt;"")),参数配置!$E$13*MAX(H190:O190)),2)))</f>
        <v/>
      </c>
      <c r="Q190" s="23">
        <f>IF($A190="","",IF(P190="","",ROUND(G190*P190,2)))</f>
        <v/>
      </c>
      <c r="R190" s="8">
        <f>IF($A190="","",IF(COUNTIFS(控制措施表!$B:$B,$A190,控制措施表!$C:$C,$F190,控制措施表!$F:$F,"是")=0,IF(COUNTIFS(控制措施表!$B:$B,$A190,控制措施表!$C:$C,$F190)=0,"",MINIFS(控制措施表!$E:$E,控制措施表!$B:$B,$A190,控制措施表!$C:$C,$F190)),MINIFS(控制措施表!$E:$E,控制措施表!$B:$B,$A190,控制措施表!$C:$C,$F190,控制措施表!$F:$F,"是")))</f>
        <v/>
      </c>
      <c r="S190" s="24">
        <f>IF($A190="","",IF(R190="",0,VLOOKUP(R190,参数配置!$D$4:$E$8,2,FALSE)))</f>
        <v/>
      </c>
      <c r="T190" s="23">
        <f>IF($A190="","",IF(Q190="","",ROUND(Q190*(1-S190),2)))</f>
        <v/>
      </c>
      <c r="U190" s="8">
        <f>IF($A190="","",IF(T190="","",IF(T190&gt;=参数配置!$B$14,"极高",IF(T190&gt;=参数配置!$B$15,"高",IF(T190&gt;=参数配置!$B$16,"中",IF(T190&gt;=参数配置!$B$17,"低","极低"))))))</f>
        <v/>
      </c>
      <c r="V190" s="8">
        <f>IF($A190="","",IF(P190="","",ROUND(P190,0)))</f>
        <v/>
      </c>
      <c r="W190" s="8">
        <f>IF($A190="","",IF(Q190="","",ROUND(Q190,0)))</f>
        <v/>
      </c>
      <c r="X190" s="8">
        <f>IF($A190="","",IF(U190="","",IF(U190="极高","每年必审",IF(U190="高","每年审计",IF(U190="中","两年一轮","按需抽查")))))</f>
        <v/>
      </c>
      <c r="Y190" s="24">
        <f>IF($A190="","",IF(OR(Q190="",Q190=0),"",(Q190-T190)/Q190))</f>
        <v/>
      </c>
    </row>
    <row r="191">
      <c r="P191" s="23">
        <f>IF($A191="","",IF(COUNT(H191:O191)=0,"",ROUND(MAX(SUMPRODUCT(H191:O191,IFERROR(VLOOKUP($C191,参数配置!$A$26:$I$38,{2,3,4,5,6,7,8,9},FALSE),VLOOKUP(参数配置!$A$26,参数配置!$A$26:$I$38,{2,3,4,5,6,7,8,9},FALSE)))/SUMPRODUCT(IFERROR(VLOOKUP($C191,参数配置!$A$26:$I$38,{2,3,4,5,6,7,8,9},FALSE),VLOOKUP(参数配置!$A$26,参数配置!$A$26:$I$38,{2,3,4,5,6,7,8,9},FALSE)),--(H191:O191&lt;&gt;"")),参数配置!$E$13*MAX(H191:O191)),2)))</f>
        <v/>
      </c>
      <c r="Q191" s="23">
        <f>IF($A191="","",IF(P191="","",ROUND(G191*P191,2)))</f>
        <v/>
      </c>
      <c r="R191" s="8">
        <f>IF($A191="","",IF(COUNTIFS(控制措施表!$B:$B,$A191,控制措施表!$C:$C,$F191,控制措施表!$F:$F,"是")=0,IF(COUNTIFS(控制措施表!$B:$B,$A191,控制措施表!$C:$C,$F191)=0,"",MINIFS(控制措施表!$E:$E,控制措施表!$B:$B,$A191,控制措施表!$C:$C,$F191)),MINIFS(控制措施表!$E:$E,控制措施表!$B:$B,$A191,控制措施表!$C:$C,$F191,控制措施表!$F:$F,"是")))</f>
        <v/>
      </c>
      <c r="S191" s="24">
        <f>IF($A191="","",IF(R191="",0,VLOOKUP(R191,参数配置!$D$4:$E$8,2,FALSE)))</f>
        <v/>
      </c>
      <c r="T191" s="23">
        <f>IF($A191="","",IF(Q191="","",ROUND(Q191*(1-S191),2)))</f>
        <v/>
      </c>
      <c r="U191" s="8">
        <f>IF($A191="","",IF(T191="","",IF(T191&gt;=参数配置!$B$14,"极高",IF(T191&gt;=参数配置!$B$15,"高",IF(T191&gt;=参数配置!$B$16,"中",IF(T191&gt;=参数配置!$B$17,"低","极低"))))))</f>
        <v/>
      </c>
      <c r="V191" s="8">
        <f>IF($A191="","",IF(P191="","",ROUND(P191,0)))</f>
        <v/>
      </c>
      <c r="W191" s="8">
        <f>IF($A191="","",IF(Q191="","",ROUND(Q191,0)))</f>
        <v/>
      </c>
      <c r="X191" s="8">
        <f>IF($A191="","",IF(U191="","",IF(U191="极高","每年必审",IF(U191="高","每年审计",IF(U191="中","两年一轮","按需抽查")))))</f>
        <v/>
      </c>
      <c r="Y191" s="24">
        <f>IF($A191="","",IF(OR(Q191="",Q191=0),"",(Q191-T191)/Q191))</f>
        <v/>
      </c>
    </row>
    <row r="192">
      <c r="P192" s="23">
        <f>IF($A192="","",IF(COUNT(H192:O192)=0,"",ROUND(MAX(SUMPRODUCT(H192:O192,IFERROR(VLOOKUP($C192,参数配置!$A$26:$I$38,{2,3,4,5,6,7,8,9},FALSE),VLOOKUP(参数配置!$A$26,参数配置!$A$26:$I$38,{2,3,4,5,6,7,8,9},FALSE)))/SUMPRODUCT(IFERROR(VLOOKUP($C192,参数配置!$A$26:$I$38,{2,3,4,5,6,7,8,9},FALSE),VLOOKUP(参数配置!$A$26,参数配置!$A$26:$I$38,{2,3,4,5,6,7,8,9},FALSE)),--(H192:O192&lt;&gt;"")),参数配置!$E$13*MAX(H192:O192)),2)))</f>
        <v/>
      </c>
      <c r="Q192" s="23">
        <f>IF($A192="","",IF(P192="","",ROUND(G192*P192,2)))</f>
        <v/>
      </c>
      <c r="R192" s="8">
        <f>IF($A192="","",IF(COUNTIFS(控制措施表!$B:$B,$A192,控制措施表!$C:$C,$F192,控制措施表!$F:$F,"是")=0,IF(COUNTIFS(控制措施表!$B:$B,$A192,控制措施表!$C:$C,$F192)=0,"",MINIFS(控制措施表!$E:$E,控制措施表!$B:$B,$A192,控制措施表!$C:$C,$F192)),MINIFS(控制措施表!$E:$E,控制措施表!$B:$B,$A192,控制措施表!$C:$C,$F192,控制措施表!$F:$F,"是")))</f>
        <v/>
      </c>
      <c r="S192" s="24">
        <f>IF($A192="","",IF(R192="",0,VLOOKUP(R192,参数配置!$D$4:$E$8,2,FALSE)))</f>
        <v/>
      </c>
      <c r="T192" s="23">
        <f>IF($A192="","",IF(Q192="","",ROUND(Q192*(1-S192),2)))</f>
        <v/>
      </c>
      <c r="U192" s="8">
        <f>IF($A192="","",IF(T192="","",IF(T192&gt;=参数配置!$B$14,"极高",IF(T192&gt;=参数配置!$B$15,"高",IF(T192&gt;=参数配置!$B$16,"中",IF(T192&gt;=参数配置!$B$17,"低","极低"))))))</f>
        <v/>
      </c>
      <c r="V192" s="8">
        <f>IF($A192="","",IF(P192="","",ROUND(P192,0)))</f>
        <v/>
      </c>
      <c r="W192" s="8">
        <f>IF($A192="","",IF(Q192="","",ROUND(Q192,0)))</f>
        <v/>
      </c>
      <c r="X192" s="8">
        <f>IF($A192="","",IF(U192="","",IF(U192="极高","每年必审",IF(U192="高","每年审计",IF(U192="中","两年一轮","按需抽查")))))</f>
        <v/>
      </c>
      <c r="Y192" s="24">
        <f>IF($A192="","",IF(OR(Q192="",Q192=0),"",(Q192-T192)/Q192))</f>
        <v/>
      </c>
    </row>
    <row r="193">
      <c r="P193" s="23">
        <f>IF($A193="","",IF(COUNT(H193:O193)=0,"",ROUND(MAX(SUMPRODUCT(H193:O193,IFERROR(VLOOKUP($C193,参数配置!$A$26:$I$38,{2,3,4,5,6,7,8,9},FALSE),VLOOKUP(参数配置!$A$26,参数配置!$A$26:$I$38,{2,3,4,5,6,7,8,9},FALSE)))/SUMPRODUCT(IFERROR(VLOOKUP($C193,参数配置!$A$26:$I$38,{2,3,4,5,6,7,8,9},FALSE),VLOOKUP(参数配置!$A$26,参数配置!$A$26:$I$38,{2,3,4,5,6,7,8,9},FALSE)),--(H193:O193&lt;&gt;"")),参数配置!$E$13*MAX(H193:O193)),2)))</f>
        <v/>
      </c>
      <c r="Q193" s="23">
        <f>IF($A193="","",IF(P193="","",ROUND(G193*P193,2)))</f>
        <v/>
      </c>
      <c r="R193" s="8">
        <f>IF($A193="","",IF(COUNTIFS(控制措施表!$B:$B,$A193,控制措施表!$C:$C,$F193,控制措施表!$F:$F,"是")=0,IF(COUNTIFS(控制措施表!$B:$B,$A193,控制措施表!$C:$C,$F193)=0,"",MINIFS(控制措施表!$E:$E,控制措施表!$B:$B,$A193,控制措施表!$C:$C,$F193)),MINIFS(控制措施表!$E:$E,控制措施表!$B:$B,$A193,控制措施表!$C:$C,$F193,控制措施表!$F:$F,"是")))</f>
        <v/>
      </c>
      <c r="S193" s="24">
        <f>IF($A193="","",IF(R193="",0,VLOOKUP(R193,参数配置!$D$4:$E$8,2,FALSE)))</f>
        <v/>
      </c>
      <c r="T193" s="23">
        <f>IF($A193="","",IF(Q193="","",ROUND(Q193*(1-S193),2)))</f>
        <v/>
      </c>
      <c r="U193" s="8">
        <f>IF($A193="","",IF(T193="","",IF(T193&gt;=参数配置!$B$14,"极高",IF(T193&gt;=参数配置!$B$15,"高",IF(T193&gt;=参数配置!$B$16,"中",IF(T193&gt;=参数配置!$B$17,"低","极低"))))))</f>
        <v/>
      </c>
      <c r="V193" s="8">
        <f>IF($A193="","",IF(P193="","",ROUND(P193,0)))</f>
        <v/>
      </c>
      <c r="W193" s="8">
        <f>IF($A193="","",IF(Q193="","",ROUND(Q193,0)))</f>
        <v/>
      </c>
      <c r="X193" s="8">
        <f>IF($A193="","",IF(U193="","",IF(U193="极高","每年必审",IF(U193="高","每年审计",IF(U193="中","两年一轮","按需抽查")))))</f>
        <v/>
      </c>
      <c r="Y193" s="24">
        <f>IF($A193="","",IF(OR(Q193="",Q193=0),"",(Q193-T193)/Q193))</f>
        <v/>
      </c>
    </row>
    <row r="194">
      <c r="P194" s="23">
        <f>IF($A194="","",IF(COUNT(H194:O194)=0,"",ROUND(MAX(SUMPRODUCT(H194:O194,IFERROR(VLOOKUP($C194,参数配置!$A$26:$I$38,{2,3,4,5,6,7,8,9},FALSE),VLOOKUP(参数配置!$A$26,参数配置!$A$26:$I$38,{2,3,4,5,6,7,8,9},FALSE)))/SUMPRODUCT(IFERROR(VLOOKUP($C194,参数配置!$A$26:$I$38,{2,3,4,5,6,7,8,9},FALSE),VLOOKUP(参数配置!$A$26,参数配置!$A$26:$I$38,{2,3,4,5,6,7,8,9},FALSE)),--(H194:O194&lt;&gt;"")),参数配置!$E$13*MAX(H194:O194)),2)))</f>
        <v/>
      </c>
      <c r="Q194" s="23">
        <f>IF($A194="","",IF(P194="","",ROUND(G194*P194,2)))</f>
        <v/>
      </c>
      <c r="R194" s="8">
        <f>IF($A194="","",IF(COUNTIFS(控制措施表!$B:$B,$A194,控制措施表!$C:$C,$F194,控制措施表!$F:$F,"是")=0,IF(COUNTIFS(控制措施表!$B:$B,$A194,控制措施表!$C:$C,$F194)=0,"",MINIFS(控制措施表!$E:$E,控制措施表!$B:$B,$A194,控制措施表!$C:$C,$F194)),MINIFS(控制措施表!$E:$E,控制措施表!$B:$B,$A194,控制措施表!$C:$C,$F194,控制措施表!$F:$F,"是")))</f>
        <v/>
      </c>
      <c r="S194" s="24">
        <f>IF($A194="","",IF(R194="",0,VLOOKUP(R194,参数配置!$D$4:$E$8,2,FALSE)))</f>
        <v/>
      </c>
      <c r="T194" s="23">
        <f>IF($A194="","",IF(Q194="","",ROUND(Q194*(1-S194),2)))</f>
        <v/>
      </c>
      <c r="U194" s="8">
        <f>IF($A194="","",IF(T194="","",IF(T194&gt;=参数配置!$B$14,"极高",IF(T194&gt;=参数配置!$B$15,"高",IF(T194&gt;=参数配置!$B$16,"中",IF(T194&gt;=参数配置!$B$17,"低","极低"))))))</f>
        <v/>
      </c>
      <c r="V194" s="8">
        <f>IF($A194="","",IF(P194="","",ROUND(P194,0)))</f>
        <v/>
      </c>
      <c r="W194" s="8">
        <f>IF($A194="","",IF(Q194="","",ROUND(Q194,0)))</f>
        <v/>
      </c>
      <c r="X194" s="8">
        <f>IF($A194="","",IF(U194="","",IF(U194="极高","每年必审",IF(U194="高","每年审计",IF(U194="中","两年一轮","按需抽查")))))</f>
        <v/>
      </c>
      <c r="Y194" s="24">
        <f>IF($A194="","",IF(OR(Q194="",Q194=0),"",(Q194-T194)/Q194))</f>
        <v/>
      </c>
    </row>
    <row r="195">
      <c r="P195" s="23">
        <f>IF($A195="","",IF(COUNT(H195:O195)=0,"",ROUND(MAX(SUMPRODUCT(H195:O195,IFERROR(VLOOKUP($C195,参数配置!$A$26:$I$38,{2,3,4,5,6,7,8,9},FALSE),VLOOKUP(参数配置!$A$26,参数配置!$A$26:$I$38,{2,3,4,5,6,7,8,9},FALSE)))/SUMPRODUCT(IFERROR(VLOOKUP($C195,参数配置!$A$26:$I$38,{2,3,4,5,6,7,8,9},FALSE),VLOOKUP(参数配置!$A$26,参数配置!$A$26:$I$38,{2,3,4,5,6,7,8,9},FALSE)),--(H195:O195&lt;&gt;"")),参数配置!$E$13*MAX(H195:O195)),2)))</f>
        <v/>
      </c>
      <c r="Q195" s="23">
        <f>IF($A195="","",IF(P195="","",ROUND(G195*P195,2)))</f>
        <v/>
      </c>
      <c r="R195" s="8">
        <f>IF($A195="","",IF(COUNTIFS(控制措施表!$B:$B,$A195,控制措施表!$C:$C,$F195,控制措施表!$F:$F,"是")=0,IF(COUNTIFS(控制措施表!$B:$B,$A195,控制措施表!$C:$C,$F195)=0,"",MINIFS(控制措施表!$E:$E,控制措施表!$B:$B,$A195,控制措施表!$C:$C,$F195)),MINIFS(控制措施表!$E:$E,控制措施表!$B:$B,$A195,控制措施表!$C:$C,$F195,控制措施表!$F:$F,"是")))</f>
        <v/>
      </c>
      <c r="S195" s="24">
        <f>IF($A195="","",IF(R195="",0,VLOOKUP(R195,参数配置!$D$4:$E$8,2,FALSE)))</f>
        <v/>
      </c>
      <c r="T195" s="23">
        <f>IF($A195="","",IF(Q195="","",ROUND(Q195*(1-S195),2)))</f>
        <v/>
      </c>
      <c r="U195" s="8">
        <f>IF($A195="","",IF(T195="","",IF(T195&gt;=参数配置!$B$14,"极高",IF(T195&gt;=参数配置!$B$15,"高",IF(T195&gt;=参数配置!$B$16,"中",IF(T195&gt;=参数配置!$B$17,"低","极低"))))))</f>
        <v/>
      </c>
      <c r="V195" s="8">
        <f>IF($A195="","",IF(P195="","",ROUND(P195,0)))</f>
        <v/>
      </c>
      <c r="W195" s="8">
        <f>IF($A195="","",IF(Q195="","",ROUND(Q195,0)))</f>
        <v/>
      </c>
      <c r="X195" s="8">
        <f>IF($A195="","",IF(U195="","",IF(U195="极高","每年必审",IF(U195="高","每年审计",IF(U195="中","两年一轮","按需抽查")))))</f>
        <v/>
      </c>
      <c r="Y195" s="24">
        <f>IF($A195="","",IF(OR(Q195="",Q195=0),"",(Q195-T195)/Q195))</f>
        <v/>
      </c>
    </row>
    <row r="196">
      <c r="P196" s="23">
        <f>IF($A196="","",IF(COUNT(H196:O196)=0,"",ROUND(MAX(SUMPRODUCT(H196:O196,IFERROR(VLOOKUP($C196,参数配置!$A$26:$I$38,{2,3,4,5,6,7,8,9},FALSE),VLOOKUP(参数配置!$A$26,参数配置!$A$26:$I$38,{2,3,4,5,6,7,8,9},FALSE)))/SUMPRODUCT(IFERROR(VLOOKUP($C196,参数配置!$A$26:$I$38,{2,3,4,5,6,7,8,9},FALSE),VLOOKUP(参数配置!$A$26,参数配置!$A$26:$I$38,{2,3,4,5,6,7,8,9},FALSE)),--(H196:O196&lt;&gt;"")),参数配置!$E$13*MAX(H196:O196)),2)))</f>
        <v/>
      </c>
      <c r="Q196" s="23">
        <f>IF($A196="","",IF(P196="","",ROUND(G196*P196,2)))</f>
        <v/>
      </c>
      <c r="R196" s="8">
        <f>IF($A196="","",IF(COUNTIFS(控制措施表!$B:$B,$A196,控制措施表!$C:$C,$F196,控制措施表!$F:$F,"是")=0,IF(COUNTIFS(控制措施表!$B:$B,$A196,控制措施表!$C:$C,$F196)=0,"",MINIFS(控制措施表!$E:$E,控制措施表!$B:$B,$A196,控制措施表!$C:$C,$F196)),MINIFS(控制措施表!$E:$E,控制措施表!$B:$B,$A196,控制措施表!$C:$C,$F196,控制措施表!$F:$F,"是")))</f>
        <v/>
      </c>
      <c r="S196" s="24">
        <f>IF($A196="","",IF(R196="",0,VLOOKUP(R196,参数配置!$D$4:$E$8,2,FALSE)))</f>
        <v/>
      </c>
      <c r="T196" s="23">
        <f>IF($A196="","",IF(Q196="","",ROUND(Q196*(1-S196),2)))</f>
        <v/>
      </c>
      <c r="U196" s="8">
        <f>IF($A196="","",IF(T196="","",IF(T196&gt;=参数配置!$B$14,"极高",IF(T196&gt;=参数配置!$B$15,"高",IF(T196&gt;=参数配置!$B$16,"中",IF(T196&gt;=参数配置!$B$17,"低","极低"))))))</f>
        <v/>
      </c>
      <c r="V196" s="8">
        <f>IF($A196="","",IF(P196="","",ROUND(P196,0)))</f>
        <v/>
      </c>
      <c r="W196" s="8">
        <f>IF($A196="","",IF(Q196="","",ROUND(Q196,0)))</f>
        <v/>
      </c>
      <c r="X196" s="8">
        <f>IF($A196="","",IF(U196="","",IF(U196="极高","每年必审",IF(U196="高","每年审计",IF(U196="中","两年一轮","按需抽查")))))</f>
        <v/>
      </c>
      <c r="Y196" s="24">
        <f>IF($A196="","",IF(OR(Q196="",Q196=0),"",(Q196-T196)/Q196))</f>
        <v/>
      </c>
    </row>
    <row r="197">
      <c r="P197" s="23">
        <f>IF($A197="","",IF(COUNT(H197:O197)=0,"",ROUND(MAX(SUMPRODUCT(H197:O197,IFERROR(VLOOKUP($C197,参数配置!$A$26:$I$38,{2,3,4,5,6,7,8,9},FALSE),VLOOKUP(参数配置!$A$26,参数配置!$A$26:$I$38,{2,3,4,5,6,7,8,9},FALSE)))/SUMPRODUCT(IFERROR(VLOOKUP($C197,参数配置!$A$26:$I$38,{2,3,4,5,6,7,8,9},FALSE),VLOOKUP(参数配置!$A$26,参数配置!$A$26:$I$38,{2,3,4,5,6,7,8,9},FALSE)),--(H197:O197&lt;&gt;"")),参数配置!$E$13*MAX(H197:O197)),2)))</f>
        <v/>
      </c>
      <c r="Q197" s="23">
        <f>IF($A197="","",IF(P197="","",ROUND(G197*P197,2)))</f>
        <v/>
      </c>
      <c r="R197" s="8">
        <f>IF($A197="","",IF(COUNTIFS(控制措施表!$B:$B,$A197,控制措施表!$C:$C,$F197,控制措施表!$F:$F,"是")=0,IF(COUNTIFS(控制措施表!$B:$B,$A197,控制措施表!$C:$C,$F197)=0,"",MINIFS(控制措施表!$E:$E,控制措施表!$B:$B,$A197,控制措施表!$C:$C,$F197)),MINIFS(控制措施表!$E:$E,控制措施表!$B:$B,$A197,控制措施表!$C:$C,$F197,控制措施表!$F:$F,"是")))</f>
        <v/>
      </c>
      <c r="S197" s="24">
        <f>IF($A197="","",IF(R197="",0,VLOOKUP(R197,参数配置!$D$4:$E$8,2,FALSE)))</f>
        <v/>
      </c>
      <c r="T197" s="23">
        <f>IF($A197="","",IF(Q197="","",ROUND(Q197*(1-S197),2)))</f>
        <v/>
      </c>
      <c r="U197" s="8">
        <f>IF($A197="","",IF(T197="","",IF(T197&gt;=参数配置!$B$14,"极高",IF(T197&gt;=参数配置!$B$15,"高",IF(T197&gt;=参数配置!$B$16,"中",IF(T197&gt;=参数配置!$B$17,"低","极低"))))))</f>
        <v/>
      </c>
      <c r="V197" s="8">
        <f>IF($A197="","",IF(P197="","",ROUND(P197,0)))</f>
        <v/>
      </c>
      <c r="W197" s="8">
        <f>IF($A197="","",IF(Q197="","",ROUND(Q197,0)))</f>
        <v/>
      </c>
      <c r="X197" s="8">
        <f>IF($A197="","",IF(U197="","",IF(U197="极高","每年必审",IF(U197="高","每年审计",IF(U197="中","两年一轮","按需抽查")))))</f>
        <v/>
      </c>
      <c r="Y197" s="24">
        <f>IF($A197="","",IF(OR(Q197="",Q197=0),"",(Q197-T197)/Q197))</f>
        <v/>
      </c>
    </row>
    <row r="198">
      <c r="P198" s="23">
        <f>IF($A198="","",IF(COUNT(H198:O198)=0,"",ROUND(MAX(SUMPRODUCT(H198:O198,IFERROR(VLOOKUP($C198,参数配置!$A$26:$I$38,{2,3,4,5,6,7,8,9},FALSE),VLOOKUP(参数配置!$A$26,参数配置!$A$26:$I$38,{2,3,4,5,6,7,8,9},FALSE)))/SUMPRODUCT(IFERROR(VLOOKUP($C198,参数配置!$A$26:$I$38,{2,3,4,5,6,7,8,9},FALSE),VLOOKUP(参数配置!$A$26,参数配置!$A$26:$I$38,{2,3,4,5,6,7,8,9},FALSE)),--(H198:O198&lt;&gt;"")),参数配置!$E$13*MAX(H198:O198)),2)))</f>
        <v/>
      </c>
      <c r="Q198" s="23">
        <f>IF($A198="","",IF(P198="","",ROUND(G198*P198,2)))</f>
        <v/>
      </c>
      <c r="R198" s="8">
        <f>IF($A198="","",IF(COUNTIFS(控制措施表!$B:$B,$A198,控制措施表!$C:$C,$F198,控制措施表!$F:$F,"是")=0,IF(COUNTIFS(控制措施表!$B:$B,$A198,控制措施表!$C:$C,$F198)=0,"",MINIFS(控制措施表!$E:$E,控制措施表!$B:$B,$A198,控制措施表!$C:$C,$F198)),MINIFS(控制措施表!$E:$E,控制措施表!$B:$B,$A198,控制措施表!$C:$C,$F198,控制措施表!$F:$F,"是")))</f>
        <v/>
      </c>
      <c r="S198" s="24">
        <f>IF($A198="","",IF(R198="",0,VLOOKUP(R198,参数配置!$D$4:$E$8,2,FALSE)))</f>
        <v/>
      </c>
      <c r="T198" s="23">
        <f>IF($A198="","",IF(Q198="","",ROUND(Q198*(1-S198),2)))</f>
        <v/>
      </c>
      <c r="U198" s="8">
        <f>IF($A198="","",IF(T198="","",IF(T198&gt;=参数配置!$B$14,"极高",IF(T198&gt;=参数配置!$B$15,"高",IF(T198&gt;=参数配置!$B$16,"中",IF(T198&gt;=参数配置!$B$17,"低","极低"))))))</f>
        <v/>
      </c>
      <c r="V198" s="8">
        <f>IF($A198="","",IF(P198="","",ROUND(P198,0)))</f>
        <v/>
      </c>
      <c r="W198" s="8">
        <f>IF($A198="","",IF(Q198="","",ROUND(Q198,0)))</f>
        <v/>
      </c>
      <c r="X198" s="8">
        <f>IF($A198="","",IF(U198="","",IF(U198="极高","每年必审",IF(U198="高","每年审计",IF(U198="中","两年一轮","按需抽查")))))</f>
        <v/>
      </c>
      <c r="Y198" s="24">
        <f>IF($A198="","",IF(OR(Q198="",Q198=0),"",(Q198-T198)/Q198))</f>
        <v/>
      </c>
    </row>
    <row r="199">
      <c r="P199" s="23">
        <f>IF($A199="","",IF(COUNT(H199:O199)=0,"",ROUND(MAX(SUMPRODUCT(H199:O199,IFERROR(VLOOKUP($C199,参数配置!$A$26:$I$38,{2,3,4,5,6,7,8,9},FALSE),VLOOKUP(参数配置!$A$26,参数配置!$A$26:$I$38,{2,3,4,5,6,7,8,9},FALSE)))/SUMPRODUCT(IFERROR(VLOOKUP($C199,参数配置!$A$26:$I$38,{2,3,4,5,6,7,8,9},FALSE),VLOOKUP(参数配置!$A$26,参数配置!$A$26:$I$38,{2,3,4,5,6,7,8,9},FALSE)),--(H199:O199&lt;&gt;"")),参数配置!$E$13*MAX(H199:O199)),2)))</f>
        <v/>
      </c>
      <c r="Q199" s="23">
        <f>IF($A199="","",IF(P199="","",ROUND(G199*P199,2)))</f>
        <v/>
      </c>
      <c r="R199" s="8">
        <f>IF($A199="","",IF(COUNTIFS(控制措施表!$B:$B,$A199,控制措施表!$C:$C,$F199,控制措施表!$F:$F,"是")=0,IF(COUNTIFS(控制措施表!$B:$B,$A199,控制措施表!$C:$C,$F199)=0,"",MINIFS(控制措施表!$E:$E,控制措施表!$B:$B,$A199,控制措施表!$C:$C,$F199)),MINIFS(控制措施表!$E:$E,控制措施表!$B:$B,$A199,控制措施表!$C:$C,$F199,控制措施表!$F:$F,"是")))</f>
        <v/>
      </c>
      <c r="S199" s="24">
        <f>IF($A199="","",IF(R199="",0,VLOOKUP(R199,参数配置!$D$4:$E$8,2,FALSE)))</f>
        <v/>
      </c>
      <c r="T199" s="23">
        <f>IF($A199="","",IF(Q199="","",ROUND(Q199*(1-S199),2)))</f>
        <v/>
      </c>
      <c r="U199" s="8">
        <f>IF($A199="","",IF(T199="","",IF(T199&gt;=参数配置!$B$14,"极高",IF(T199&gt;=参数配置!$B$15,"高",IF(T199&gt;=参数配置!$B$16,"中",IF(T199&gt;=参数配置!$B$17,"低","极低"))))))</f>
        <v/>
      </c>
      <c r="V199" s="8">
        <f>IF($A199="","",IF(P199="","",ROUND(P199,0)))</f>
        <v/>
      </c>
      <c r="W199" s="8">
        <f>IF($A199="","",IF(Q199="","",ROUND(Q199,0)))</f>
        <v/>
      </c>
      <c r="X199" s="8">
        <f>IF($A199="","",IF(U199="","",IF(U199="极高","每年必审",IF(U199="高","每年审计",IF(U199="中","两年一轮","按需抽查")))))</f>
        <v/>
      </c>
      <c r="Y199" s="24">
        <f>IF($A199="","",IF(OR(Q199="",Q199=0),"",(Q199-T199)/Q199))</f>
        <v/>
      </c>
    </row>
    <row r="200">
      <c r="P200" s="23">
        <f>IF($A200="","",IF(COUNT(H200:O200)=0,"",ROUND(MAX(SUMPRODUCT(H200:O200,IFERROR(VLOOKUP($C200,参数配置!$A$26:$I$38,{2,3,4,5,6,7,8,9},FALSE),VLOOKUP(参数配置!$A$26,参数配置!$A$26:$I$38,{2,3,4,5,6,7,8,9},FALSE)))/SUMPRODUCT(IFERROR(VLOOKUP($C200,参数配置!$A$26:$I$38,{2,3,4,5,6,7,8,9},FALSE),VLOOKUP(参数配置!$A$26,参数配置!$A$26:$I$38,{2,3,4,5,6,7,8,9},FALSE)),--(H200:O200&lt;&gt;"")),参数配置!$E$13*MAX(H200:O200)),2)))</f>
        <v/>
      </c>
      <c r="Q200" s="23">
        <f>IF($A200="","",IF(P200="","",ROUND(G200*P200,2)))</f>
        <v/>
      </c>
      <c r="R200" s="8">
        <f>IF($A200="","",IF(COUNTIFS(控制措施表!$B:$B,$A200,控制措施表!$C:$C,$F200,控制措施表!$F:$F,"是")=0,IF(COUNTIFS(控制措施表!$B:$B,$A200,控制措施表!$C:$C,$F200)=0,"",MINIFS(控制措施表!$E:$E,控制措施表!$B:$B,$A200,控制措施表!$C:$C,$F200)),MINIFS(控制措施表!$E:$E,控制措施表!$B:$B,$A200,控制措施表!$C:$C,$F200,控制措施表!$F:$F,"是")))</f>
        <v/>
      </c>
      <c r="S200" s="24">
        <f>IF($A200="","",IF(R200="",0,VLOOKUP(R200,参数配置!$D$4:$E$8,2,FALSE)))</f>
        <v/>
      </c>
      <c r="T200" s="23">
        <f>IF($A200="","",IF(Q200="","",ROUND(Q200*(1-S200),2)))</f>
        <v/>
      </c>
      <c r="U200" s="8">
        <f>IF($A200="","",IF(T200="","",IF(T200&gt;=参数配置!$B$14,"极高",IF(T200&gt;=参数配置!$B$15,"高",IF(T200&gt;=参数配置!$B$16,"中",IF(T200&gt;=参数配置!$B$17,"低","极低"))))))</f>
        <v/>
      </c>
      <c r="V200" s="8">
        <f>IF($A200="","",IF(P200="","",ROUND(P200,0)))</f>
        <v/>
      </c>
      <c r="W200" s="8">
        <f>IF($A200="","",IF(Q200="","",ROUND(Q200,0)))</f>
        <v/>
      </c>
      <c r="X200" s="8">
        <f>IF($A200="","",IF(U200="","",IF(U200="极高","每年必审",IF(U200="高","每年审计",IF(U200="中","两年一轮","按需抽查")))))</f>
        <v/>
      </c>
      <c r="Y200" s="24">
        <f>IF($A200="","",IF(OR(Q200="",Q200=0),"",(Q200-T200)/Q200))</f>
        <v/>
      </c>
    </row>
    <row r="201">
      <c r="P201" s="23">
        <f>IF($A201="","",IF(COUNT(H201:O201)=0,"",ROUND(MAX(SUMPRODUCT(H201:O201,IFERROR(VLOOKUP($C201,参数配置!$A$26:$I$38,{2,3,4,5,6,7,8,9},FALSE),VLOOKUP(参数配置!$A$26,参数配置!$A$26:$I$38,{2,3,4,5,6,7,8,9},FALSE)))/SUMPRODUCT(IFERROR(VLOOKUP($C201,参数配置!$A$26:$I$38,{2,3,4,5,6,7,8,9},FALSE),VLOOKUP(参数配置!$A$26,参数配置!$A$26:$I$38,{2,3,4,5,6,7,8,9},FALSE)),--(H201:O201&lt;&gt;"")),参数配置!$E$13*MAX(H201:O201)),2)))</f>
        <v/>
      </c>
      <c r="Q201" s="23">
        <f>IF($A201="","",IF(P201="","",ROUND(G201*P201,2)))</f>
        <v/>
      </c>
      <c r="R201" s="8">
        <f>IF($A201="","",IF(COUNTIFS(控制措施表!$B:$B,$A201,控制措施表!$C:$C,$F201,控制措施表!$F:$F,"是")=0,IF(COUNTIFS(控制措施表!$B:$B,$A201,控制措施表!$C:$C,$F201)=0,"",MINIFS(控制措施表!$E:$E,控制措施表!$B:$B,$A201,控制措施表!$C:$C,$F201)),MINIFS(控制措施表!$E:$E,控制措施表!$B:$B,$A201,控制措施表!$C:$C,$F201,控制措施表!$F:$F,"是")))</f>
        <v/>
      </c>
      <c r="S201" s="24">
        <f>IF($A201="","",IF(R201="",0,VLOOKUP(R201,参数配置!$D$4:$E$8,2,FALSE)))</f>
        <v/>
      </c>
      <c r="T201" s="23">
        <f>IF($A201="","",IF(Q201="","",ROUND(Q201*(1-S201),2)))</f>
        <v/>
      </c>
      <c r="U201" s="8">
        <f>IF($A201="","",IF(T201="","",IF(T201&gt;=参数配置!$B$14,"极高",IF(T201&gt;=参数配置!$B$15,"高",IF(T201&gt;=参数配置!$B$16,"中",IF(T201&gt;=参数配置!$B$17,"低","极低"))))))</f>
        <v/>
      </c>
      <c r="V201" s="8">
        <f>IF($A201="","",IF(P201="","",ROUND(P201,0)))</f>
        <v/>
      </c>
      <c r="W201" s="8">
        <f>IF($A201="","",IF(Q201="","",ROUND(Q201,0)))</f>
        <v/>
      </c>
      <c r="X201" s="8">
        <f>IF($A201="","",IF(U201="","",IF(U201="极高","每年必审",IF(U201="高","每年审计",IF(U201="中","两年一轮","按需抽查")))))</f>
        <v/>
      </c>
      <c r="Y201" s="24">
        <f>IF($A201="","",IF(OR(Q201="",Q201=0),"",(Q201-T201)/Q201))</f>
        <v/>
      </c>
    </row>
    <row r="202">
      <c r="P202" s="23">
        <f>IF($A202="","",IF(COUNT(H202:O202)=0,"",ROUND(MAX(SUMPRODUCT(H202:O202,IFERROR(VLOOKUP($C202,参数配置!$A$26:$I$38,{2,3,4,5,6,7,8,9},FALSE),VLOOKUP(参数配置!$A$26,参数配置!$A$26:$I$38,{2,3,4,5,6,7,8,9},FALSE)))/SUMPRODUCT(IFERROR(VLOOKUP($C202,参数配置!$A$26:$I$38,{2,3,4,5,6,7,8,9},FALSE),VLOOKUP(参数配置!$A$26,参数配置!$A$26:$I$38,{2,3,4,5,6,7,8,9},FALSE)),--(H202:O202&lt;&gt;"")),参数配置!$E$13*MAX(H202:O202)),2)))</f>
        <v/>
      </c>
      <c r="Q202" s="23">
        <f>IF($A202="","",IF(P202="","",ROUND(G202*P202,2)))</f>
        <v/>
      </c>
      <c r="R202" s="8">
        <f>IF($A202="","",IF(COUNTIFS(控制措施表!$B:$B,$A202,控制措施表!$C:$C,$F202,控制措施表!$F:$F,"是")=0,IF(COUNTIFS(控制措施表!$B:$B,$A202,控制措施表!$C:$C,$F202)=0,"",MINIFS(控制措施表!$E:$E,控制措施表!$B:$B,$A202,控制措施表!$C:$C,$F202)),MINIFS(控制措施表!$E:$E,控制措施表!$B:$B,$A202,控制措施表!$C:$C,$F202,控制措施表!$F:$F,"是")))</f>
        <v/>
      </c>
      <c r="S202" s="24">
        <f>IF($A202="","",IF(R202="",0,VLOOKUP(R202,参数配置!$D$4:$E$8,2,FALSE)))</f>
        <v/>
      </c>
      <c r="T202" s="23">
        <f>IF($A202="","",IF(Q202="","",ROUND(Q202*(1-S202),2)))</f>
        <v/>
      </c>
      <c r="U202" s="8">
        <f>IF($A202="","",IF(T202="","",IF(T202&gt;=参数配置!$B$14,"极高",IF(T202&gt;=参数配置!$B$15,"高",IF(T202&gt;=参数配置!$B$16,"中",IF(T202&gt;=参数配置!$B$17,"低","极低"))))))</f>
        <v/>
      </c>
      <c r="V202" s="8">
        <f>IF($A202="","",IF(P202="","",ROUND(P202,0)))</f>
        <v/>
      </c>
      <c r="W202" s="8">
        <f>IF($A202="","",IF(Q202="","",ROUND(Q202,0)))</f>
        <v/>
      </c>
      <c r="X202" s="8">
        <f>IF($A202="","",IF(U202="","",IF(U202="极高","每年必审",IF(U202="高","每年审计",IF(U202="中","两年一轮","按需抽查")))))</f>
        <v/>
      </c>
      <c r="Y202" s="24">
        <f>IF($A202="","",IF(OR(Q202="",Q202=0),"",(Q202-T202)/Q202))</f>
        <v/>
      </c>
    </row>
    <row r="203">
      <c r="P203" s="23">
        <f>IF($A203="","",IF(COUNT(H203:O203)=0,"",ROUND(MAX(SUMPRODUCT(H203:O203,IFERROR(VLOOKUP($C203,参数配置!$A$26:$I$38,{2,3,4,5,6,7,8,9},FALSE),VLOOKUP(参数配置!$A$26,参数配置!$A$26:$I$38,{2,3,4,5,6,7,8,9},FALSE)))/SUMPRODUCT(IFERROR(VLOOKUP($C203,参数配置!$A$26:$I$38,{2,3,4,5,6,7,8,9},FALSE),VLOOKUP(参数配置!$A$26,参数配置!$A$26:$I$38,{2,3,4,5,6,7,8,9},FALSE)),--(H203:O203&lt;&gt;"")),参数配置!$E$13*MAX(H203:O203)),2)))</f>
        <v/>
      </c>
      <c r="Q203" s="23">
        <f>IF($A203="","",IF(P203="","",ROUND(G203*P203,2)))</f>
        <v/>
      </c>
      <c r="R203" s="8">
        <f>IF($A203="","",IF(COUNTIFS(控制措施表!$B:$B,$A203,控制措施表!$C:$C,$F203,控制措施表!$F:$F,"是")=0,IF(COUNTIFS(控制措施表!$B:$B,$A203,控制措施表!$C:$C,$F203)=0,"",MINIFS(控制措施表!$E:$E,控制措施表!$B:$B,$A203,控制措施表!$C:$C,$F203)),MINIFS(控制措施表!$E:$E,控制措施表!$B:$B,$A203,控制措施表!$C:$C,$F203,控制措施表!$F:$F,"是")))</f>
        <v/>
      </c>
      <c r="S203" s="24">
        <f>IF($A203="","",IF(R203="",0,VLOOKUP(R203,参数配置!$D$4:$E$8,2,FALSE)))</f>
        <v/>
      </c>
      <c r="T203" s="23">
        <f>IF($A203="","",IF(Q203="","",ROUND(Q203*(1-S203),2)))</f>
        <v/>
      </c>
      <c r="U203" s="8">
        <f>IF($A203="","",IF(T203="","",IF(T203&gt;=参数配置!$B$14,"极高",IF(T203&gt;=参数配置!$B$15,"高",IF(T203&gt;=参数配置!$B$16,"中",IF(T203&gt;=参数配置!$B$17,"低","极低"))))))</f>
        <v/>
      </c>
      <c r="V203" s="8">
        <f>IF($A203="","",IF(P203="","",ROUND(P203,0)))</f>
        <v/>
      </c>
      <c r="W203" s="8">
        <f>IF($A203="","",IF(Q203="","",ROUND(Q203,0)))</f>
        <v/>
      </c>
      <c r="X203" s="8">
        <f>IF($A203="","",IF(U203="","",IF(U203="极高","每年必审",IF(U203="高","每年审计",IF(U203="中","两年一轮","按需抽查")))))</f>
        <v/>
      </c>
      <c r="Y203" s="24">
        <f>IF($A203="","",IF(OR(Q203="",Q203=0),"",(Q203-T203)/Q203))</f>
        <v/>
      </c>
    </row>
  </sheetData>
  <conditionalFormatting sqref="U4:U203">
    <cfRule type="expression" priority="1" dxfId="1" stopIfTrue="1">
      <formula>$U4="极高"</formula>
    </cfRule>
    <cfRule type="expression" priority="2" dxfId="2" stopIfTrue="1">
      <formula>$U4="高"</formula>
    </cfRule>
    <cfRule type="expression" priority="3" dxfId="3" stopIfTrue="1">
      <formula>$U4="中"</formula>
    </cfRule>
    <cfRule type="expression" priority="4" dxfId="4" stopIfTrue="1">
      <formula>$U4="低"</formula>
    </cfRule>
    <cfRule type="expression" priority="5" dxfId="5" stopIfTrue="1">
      <formula>$U4="极低"</formula>
    </cfRule>
  </conditionalFormatting>
  <conditionalFormatting sqref="T4:T203">
    <cfRule type="expression" priority="6" dxfId="6" stopIfTrue="1">
      <formula>AND(ISNUMBER(T4),T4&gt;=参数配置!$B$14)</formula>
    </cfRule>
    <cfRule type="expression" priority="7" dxfId="7" stopIfTrue="1">
      <formula>AND(ISNUMBER(T4),T4&gt;=参数配置!$B$15,T4&lt;参数配置!$B$14)</formula>
    </cfRule>
    <cfRule type="expression" priority="8" dxfId="8" stopIfTrue="1">
      <formula>AND(ISNUMBER(T4),T4&gt;=参数配置!$B$16,T4&lt;参数配置!$B$15)</formula>
    </cfRule>
    <cfRule type="expression" priority="9" dxfId="9" stopIfTrue="1">
      <formula>AND(ISNUMBER(T4),T4&gt;=参数配置!$B$17,T4&lt;参数配置!$B$16)</formula>
    </cfRule>
    <cfRule type="expression" priority="10" dxfId="10" stopIfTrue="1">
      <formula>AND(ISNUMBER(T4),T4&lt;参数配置!$B$17)</formula>
    </cfRule>
  </conditionalFormatting>
  <dataValidations count="3">
    <dataValidation sqref="G4:O203" showDropDown="0" showInputMessage="0" showErrorMessage="0" allowBlank="1" errorTitle="评分超出范围" error="请输入 1~5 的整数；不适用请留空" type="whole" operator="between">
      <formula1>1</formula1>
      <formula2>5</formula2>
    </dataValidation>
    <dataValidation sqref="F4:F203" showDropDown="0" showInputMessage="0" showErrorMessage="0" allowBlank="1" errorTitle="期间无效" error="请从下拉列表选择（期间清单在参数配置页 I 列维护）" type="list">
      <formula1>=参数配置!$I$3:$I$8</formula1>
    </dataValidation>
    <dataValidation sqref="C4:C203" showDropDown="0" showInputMessage="0" showErrorMessage="0" allowBlank="1" errorTitle="领域无效" error="请从下拉列表选择" type="list">
      <formula1>"战略与投资,治理与决策,资金活动,财务报告与税务,资产管理,采购与外包,合同管理,工程项目,人力资源,信息系统,合规与法律,安全环保"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8A3A5"/>
    <outlinePr summaryBelow="1" summaryRight="1"/>
    <pageSetUpPr/>
  </sheetPr>
  <dimension ref="A1:F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52" customWidth="1" min="4" max="4"/>
    <col width="11" customWidth="1" min="5" max="5"/>
    <col width="9" customWidth="1" min="6" max="6"/>
  </cols>
  <sheetData>
    <row r="1">
      <c r="A1" s="1" t="inlineStr">
        <is>
          <t>控制措施表（每条风险可挂多条控制点；剩余风险按“关键控制最弱分”折减，未标记关键则按全部控制点最弱分）</t>
        </is>
      </c>
    </row>
    <row r="3" ht="30" customHeight="1">
      <c r="A3" s="4" t="inlineStr">
        <is>
          <t>控制编号</t>
        </is>
      </c>
      <c r="B3" s="4" t="inlineStr">
        <is>
          <t>关联风险编号</t>
        </is>
      </c>
      <c r="C3" s="4" t="inlineStr">
        <is>
          <t>评估期间</t>
        </is>
      </c>
      <c r="D3" s="4" t="inlineStr">
        <is>
          <t>控制点描述</t>
        </is>
      </c>
      <c r="E3" s="4" t="inlineStr">
        <is>
          <t>有效性评分
(1-5)</t>
        </is>
      </c>
      <c r="F3" s="4" t="inlineStr">
        <is>
          <t>关键控制</t>
        </is>
      </c>
    </row>
    <row r="4">
      <c r="A4" s="10" t="inlineStr">
        <is>
          <t>C001</t>
        </is>
      </c>
      <c r="B4" s="10" t="inlineStr">
        <is>
          <t>R001</t>
        </is>
      </c>
      <c r="C4" s="10" t="inlineStr">
        <is>
          <t>2026H1</t>
        </is>
      </c>
      <c r="D4" s="22" t="inlineStr">
        <is>
          <t>预算系统刚性拦截超标报销</t>
        </is>
      </c>
      <c r="E4" s="10" t="n">
        <v>4</v>
      </c>
      <c r="F4" s="10" t="inlineStr">
        <is>
          <t>否</t>
        </is>
      </c>
    </row>
    <row r="5">
      <c r="A5" s="10" t="inlineStr">
        <is>
          <t>C002</t>
        </is>
      </c>
      <c r="B5" s="10" t="inlineStr">
        <is>
          <t>R001</t>
        </is>
      </c>
      <c r="C5" s="10" t="inlineStr">
        <is>
          <t>2026H1</t>
        </is>
      </c>
      <c r="D5" s="22" t="inlineStr">
        <is>
          <t>大额报销双人复核并抽凭</t>
        </is>
      </c>
      <c r="E5" s="10" t="n">
        <v>3</v>
      </c>
      <c r="F5" s="10" t="inlineStr">
        <is>
          <t>是</t>
        </is>
      </c>
    </row>
    <row r="6">
      <c r="A6" s="10" t="inlineStr">
        <is>
          <t>C003</t>
        </is>
      </c>
      <c r="B6" s="10" t="inlineStr">
        <is>
          <t>R002</t>
        </is>
      </c>
      <c r="C6" s="10" t="inlineStr">
        <is>
          <t>2026H1</t>
        </is>
      </c>
      <c r="D6" s="22" t="inlineStr">
        <is>
          <t>季度收入截止测试程序</t>
        </is>
      </c>
      <c r="E6" s="10" t="n">
        <v>4</v>
      </c>
      <c r="F6" s="10" t="inlineStr">
        <is>
          <t>是</t>
        </is>
      </c>
    </row>
    <row r="7">
      <c r="A7" s="10" t="inlineStr">
        <is>
          <t>C004</t>
        </is>
      </c>
      <c r="B7" s="10" t="inlineStr">
        <is>
          <t>R002</t>
        </is>
      </c>
      <c r="C7" s="10" t="inlineStr">
        <is>
          <t>2026H1</t>
        </is>
      </c>
      <c r="D7" s="22" t="inlineStr">
        <is>
          <t>业财对账自动化月度核对</t>
        </is>
      </c>
      <c r="E7" s="10" t="n">
        <v>3</v>
      </c>
      <c r="F7" s="10" t="inlineStr">
        <is>
          <t>否</t>
        </is>
      </c>
    </row>
    <row r="8">
      <c r="A8" s="10" t="inlineStr">
        <is>
          <t>C005</t>
        </is>
      </c>
      <c r="B8" s="10" t="inlineStr">
        <is>
          <t>R003</t>
        </is>
      </c>
      <c r="C8" s="10" t="inlineStr">
        <is>
          <t>2026H1</t>
        </is>
      </c>
      <c r="D8" s="22" t="inlineStr">
        <is>
          <t>审批权限矩阵嵌入 OA 硬控制</t>
        </is>
      </c>
      <c r="E8" s="10" t="n">
        <v>4</v>
      </c>
      <c r="F8" s="10" t="inlineStr">
        <is>
          <t>否</t>
        </is>
      </c>
    </row>
    <row r="9">
      <c r="A9" s="10" t="inlineStr">
        <is>
          <t>C006</t>
        </is>
      </c>
      <c r="B9" s="10" t="inlineStr">
        <is>
          <t>R003</t>
        </is>
      </c>
      <c r="C9" s="10" t="inlineStr">
        <is>
          <t>2026H1</t>
        </is>
      </c>
      <c r="D9" s="22" t="inlineStr">
        <is>
          <t>网银支付双人复核</t>
        </is>
      </c>
      <c r="E9" s="10" t="n">
        <v>5</v>
      </c>
      <c r="F9" s="10" t="inlineStr">
        <is>
          <t>是</t>
        </is>
      </c>
    </row>
    <row r="10">
      <c r="A10" s="10" t="inlineStr">
        <is>
          <t>C007</t>
        </is>
      </c>
      <c r="B10" s="10" t="inlineStr">
        <is>
          <t>R003</t>
        </is>
      </c>
      <c r="C10" s="10" t="inlineStr">
        <is>
          <t>2026H1</t>
        </is>
      </c>
      <c r="D10" s="22" t="inlineStr">
        <is>
          <t>内审资金专项检查</t>
        </is>
      </c>
      <c r="E10" s="10" t="n">
        <v>3</v>
      </c>
      <c r="F10" s="10" t="inlineStr">
        <is>
          <t>否</t>
        </is>
      </c>
    </row>
    <row r="11">
      <c r="A11" s="10" t="inlineStr">
        <is>
          <t>C008</t>
        </is>
      </c>
      <c r="B11" s="10" t="inlineStr">
        <is>
          <t>R004</t>
        </is>
      </c>
      <c r="C11" s="10" t="inlineStr">
        <is>
          <t>2026H1</t>
        </is>
      </c>
      <c r="D11" s="22" t="inlineStr">
        <is>
          <t>全流程电子化招投标平台留痕</t>
        </is>
      </c>
      <c r="E11" s="10" t="n">
        <v>4</v>
      </c>
      <c r="F11" s="10" t="inlineStr">
        <is>
          <t>是</t>
        </is>
      </c>
    </row>
    <row r="12">
      <c r="A12" s="10" t="inlineStr">
        <is>
          <t>C009</t>
        </is>
      </c>
      <c r="B12" s="10" t="inlineStr">
        <is>
          <t>R004</t>
        </is>
      </c>
      <c r="C12" s="10" t="inlineStr">
        <is>
          <t>2026H1</t>
        </is>
      </c>
      <c r="D12" s="22" t="inlineStr">
        <is>
          <t>供应商关联关系申报承诺</t>
        </is>
      </c>
      <c r="E12" s="10" t="n">
        <v>3</v>
      </c>
      <c r="F12" s="10" t="inlineStr">
        <is>
          <t>否</t>
        </is>
      </c>
    </row>
    <row r="13">
      <c r="A13" s="10" t="inlineStr">
        <is>
          <t>C010</t>
        </is>
      </c>
      <c r="B13" s="10" t="inlineStr">
        <is>
          <t>R004</t>
        </is>
      </c>
      <c r="C13" s="10" t="inlineStr">
        <is>
          <t>2026H1</t>
        </is>
      </c>
      <c r="D13" s="22" t="inlineStr">
        <is>
          <t>评标专家随机抽取</t>
        </is>
      </c>
      <c r="E13" s="10" t="n">
        <v>4</v>
      </c>
      <c r="F13" s="10" t="inlineStr">
        <is>
          <t>否</t>
        </is>
      </c>
    </row>
    <row r="14">
      <c r="A14" s="10" t="inlineStr">
        <is>
          <t>C011</t>
        </is>
      </c>
      <c r="B14" s="10" t="inlineStr">
        <is>
          <t>R005</t>
        </is>
      </c>
      <c r="C14" s="10" t="inlineStr">
        <is>
          <t>2026H1</t>
        </is>
      </c>
      <c r="D14" s="22" t="inlineStr">
        <is>
          <t>标准合同模板库加法务会签</t>
        </is>
      </c>
      <c r="E14" s="10" t="n">
        <v>4</v>
      </c>
      <c r="F14" s="10" t="inlineStr">
        <is>
          <t>是</t>
        </is>
      </c>
    </row>
    <row r="15">
      <c r="A15" s="10" t="inlineStr">
        <is>
          <t>C012</t>
        </is>
      </c>
      <c r="B15" s="10" t="inlineStr">
        <is>
          <t>R005</t>
        </is>
      </c>
      <c r="C15" s="10" t="inlineStr">
        <is>
          <t>2026H1</t>
        </is>
      </c>
      <c r="D15" s="22" t="inlineStr">
        <is>
          <t>履约台账跟踪预警</t>
        </is>
      </c>
      <c r="E15" s="10" t="n">
        <v>3</v>
      </c>
      <c r="F15" s="10" t="inlineStr">
        <is>
          <t>否</t>
        </is>
      </c>
    </row>
    <row r="16">
      <c r="A16" s="10" t="inlineStr">
        <is>
          <t>C013</t>
        </is>
      </c>
      <c r="B16" s="10" t="inlineStr">
        <is>
          <t>R006</t>
        </is>
      </c>
      <c r="C16" s="10" t="inlineStr">
        <is>
          <t>2026H1</t>
        </is>
      </c>
      <c r="D16" s="22" t="inlineStr">
        <is>
          <t>三方联合验收并影像留存</t>
        </is>
      </c>
      <c r="E16" s="10" t="n">
        <v>4</v>
      </c>
      <c r="F16" s="10" t="inlineStr">
        <is>
          <t>是</t>
        </is>
      </c>
    </row>
    <row r="17">
      <c r="A17" s="10" t="inlineStr">
        <is>
          <t>C014</t>
        </is>
      </c>
      <c r="B17" s="10" t="inlineStr">
        <is>
          <t>R007</t>
        </is>
      </c>
      <c r="C17" s="10" t="inlineStr">
        <is>
          <t>2026H1</t>
        </is>
      </c>
      <c r="D17" s="22" t="inlineStr">
        <is>
          <t>限额设计与变更分级审批</t>
        </is>
      </c>
      <c r="E17" s="10" t="n">
        <v>4</v>
      </c>
      <c r="F17" s="10" t="inlineStr">
        <is>
          <t>是</t>
        </is>
      </c>
    </row>
    <row r="18">
      <c r="A18" s="10" t="inlineStr">
        <is>
          <t>C015</t>
        </is>
      </c>
      <c r="B18" s="10" t="inlineStr">
        <is>
          <t>R007</t>
        </is>
      </c>
      <c r="C18" s="10" t="inlineStr">
        <is>
          <t>2026H1</t>
        </is>
      </c>
      <c r="D18" s="22" t="inlineStr">
        <is>
          <t>第三方造价跟踪审计</t>
        </is>
      </c>
      <c r="E18" s="10" t="n">
        <v>3</v>
      </c>
      <c r="F18" s="10" t="inlineStr">
        <is>
          <t>否</t>
        </is>
      </c>
    </row>
    <row r="19">
      <c r="A19" s="10" t="inlineStr">
        <is>
          <t>C016</t>
        </is>
      </c>
      <c r="B19" s="10" t="inlineStr">
        <is>
          <t>R008</t>
        </is>
      </c>
      <c r="C19" s="10" t="inlineStr">
        <is>
          <t>2026H1</t>
        </is>
      </c>
      <c r="D19" s="22" t="inlineStr">
        <is>
          <t>双重预防机制数字化巡检</t>
        </is>
      </c>
      <c r="E19" s="10" t="n">
        <v>4</v>
      </c>
      <c r="F19" s="10" t="inlineStr">
        <is>
          <t>否</t>
        </is>
      </c>
    </row>
    <row r="20">
      <c r="A20" s="10" t="inlineStr">
        <is>
          <t>C017</t>
        </is>
      </c>
      <c r="B20" s="10" t="inlineStr">
        <is>
          <t>R008</t>
        </is>
      </c>
      <c r="C20" s="10" t="inlineStr">
        <is>
          <t>2026H1</t>
        </is>
      </c>
      <c r="D20" s="22" t="inlineStr">
        <is>
          <t>特种作业持证上岗核查</t>
        </is>
      </c>
      <c r="E20" s="10" t="n">
        <v>5</v>
      </c>
      <c r="F20" s="10" t="inlineStr">
        <is>
          <t>是</t>
        </is>
      </c>
    </row>
    <row r="21">
      <c r="A21" s="10" t="inlineStr">
        <is>
          <t>C018</t>
        </is>
      </c>
      <c r="B21" s="10" t="inlineStr">
        <is>
          <t>R009</t>
        </is>
      </c>
      <c r="C21" s="10" t="inlineStr">
        <is>
          <t>2026H1</t>
        </is>
      </c>
      <c r="D21" s="22" t="inlineStr">
        <is>
          <t>结算时限考核与付款比例上限</t>
        </is>
      </c>
      <c r="E21" s="10" t="n">
        <v>3</v>
      </c>
      <c r="F21" s="10" t="inlineStr">
        <is>
          <t>是</t>
        </is>
      </c>
    </row>
    <row r="22">
      <c r="A22" s="10" t="inlineStr">
        <is>
          <t>C019</t>
        </is>
      </c>
      <c r="B22" s="10" t="inlineStr">
        <is>
          <t>R010</t>
        </is>
      </c>
      <c r="C22" s="10" t="inlineStr">
        <is>
          <t>2026H1</t>
        </is>
      </c>
      <c r="D22" s="22" t="inlineStr">
        <is>
          <t>权限季度复核与离职当日回收</t>
        </is>
      </c>
      <c r="E22" s="10" t="n">
        <v>4</v>
      </c>
      <c r="F22" s="10" t="inlineStr">
        <is>
          <t>否</t>
        </is>
      </c>
    </row>
    <row r="23">
      <c r="A23" s="10" t="inlineStr">
        <is>
          <t>C020</t>
        </is>
      </c>
      <c r="B23" s="10" t="inlineStr">
        <is>
          <t>R010</t>
        </is>
      </c>
      <c r="C23" s="10" t="inlineStr">
        <is>
          <t>2026H1</t>
        </is>
      </c>
      <c r="D23" s="22" t="inlineStr">
        <is>
          <t>敏感操作日志独立审计</t>
        </is>
      </c>
      <c r="E23" s="10" t="n">
        <v>5</v>
      </c>
      <c r="F23" s="10" t="inlineStr">
        <is>
          <t>是</t>
        </is>
      </c>
    </row>
    <row r="24">
      <c r="A24" s="10" t="inlineStr">
        <is>
          <t>C021</t>
        </is>
      </c>
      <c r="B24" s="10" t="inlineStr">
        <is>
          <t>R010</t>
        </is>
      </c>
      <c r="C24" s="10" t="inlineStr">
        <is>
          <t>2026H1</t>
        </is>
      </c>
      <c r="D24" s="22" t="inlineStr">
        <is>
          <t>运维双因子认证</t>
        </is>
      </c>
      <c r="E24" s="10" t="n">
        <v>3</v>
      </c>
      <c r="F24" s="10" t="inlineStr">
        <is>
          <t>否</t>
        </is>
      </c>
    </row>
    <row r="25">
      <c r="A25" s="10" t="inlineStr">
        <is>
          <t>C022</t>
        </is>
      </c>
      <c r="B25" s="10" t="inlineStr">
        <is>
          <t>R011</t>
        </is>
      </c>
      <c r="C25" s="10" t="inlineStr">
        <is>
          <t>2026H1</t>
        </is>
      </c>
      <c r="D25" s="22" t="inlineStr">
        <is>
          <t>异地灾备双活改造</t>
        </is>
      </c>
      <c r="E25" s="10" t="n">
        <v>4</v>
      </c>
      <c r="F25" s="10" t="inlineStr">
        <is>
          <t>是</t>
        </is>
      </c>
    </row>
    <row r="26">
      <c r="A26" s="10" t="inlineStr">
        <is>
          <t>C023</t>
        </is>
      </c>
      <c r="B26" s="10" t="inlineStr">
        <is>
          <t>R011</t>
        </is>
      </c>
      <c r="C26" s="10" t="inlineStr">
        <is>
          <t>2026H1</t>
        </is>
      </c>
      <c r="D26" s="22" t="inlineStr">
        <is>
          <t>年度灾难恢复演练</t>
        </is>
      </c>
      <c r="E26" s="10" t="n">
        <v>3</v>
      </c>
      <c r="F26" s="10" t="inlineStr">
        <is>
          <t>否</t>
        </is>
      </c>
    </row>
    <row r="27">
      <c r="A27" s="10" t="inlineStr">
        <is>
          <t>C024</t>
        </is>
      </c>
      <c r="B27" s="10" t="inlineStr">
        <is>
          <t>R012</t>
        </is>
      </c>
      <c r="C27" s="10" t="inlineStr">
        <is>
          <t>2026H1</t>
        </is>
      </c>
      <c r="D27" s="22" t="inlineStr">
        <is>
          <t>态势感知平台与渗透测试</t>
        </is>
      </c>
      <c r="E27" s="10" t="n">
        <v>4</v>
      </c>
      <c r="F27" s="10" t="inlineStr">
        <is>
          <t>否</t>
        </is>
      </c>
    </row>
    <row r="28">
      <c r="A28" s="10" t="inlineStr">
        <is>
          <t>C025</t>
        </is>
      </c>
      <c r="B28" s="10" t="inlineStr">
        <is>
          <t>R012</t>
        </is>
      </c>
      <c r="C28" s="10" t="inlineStr">
        <is>
          <t>2026H1</t>
        </is>
      </c>
      <c r="D28" s="22" t="inlineStr">
        <is>
          <t>终端 EDR 全覆盖</t>
        </is>
      </c>
      <c r="E28" s="10" t="n">
        <v>2</v>
      </c>
      <c r="F28" s="10" t="inlineStr">
        <is>
          <t>是</t>
        </is>
      </c>
    </row>
    <row r="29">
      <c r="A29" s="10" t="inlineStr">
        <is>
          <t>C026</t>
        </is>
      </c>
      <c r="B29" s="10" t="inlineStr">
        <is>
          <t>R012</t>
        </is>
      </c>
      <c r="C29" s="10" t="inlineStr">
        <is>
          <t>2026H1</t>
        </is>
      </c>
      <c r="D29" s="22" t="inlineStr">
        <is>
          <t>应急预案桌面演练</t>
        </is>
      </c>
      <c r="E29" s="10" t="n">
        <v>3</v>
      </c>
      <c r="F29" s="10" t="inlineStr">
        <is>
          <t>否</t>
        </is>
      </c>
    </row>
    <row r="30">
      <c r="A30" s="10" t="inlineStr">
        <is>
          <t>C027</t>
        </is>
      </c>
      <c r="B30" s="10" t="inlineStr">
        <is>
          <t>R013</t>
        </is>
      </c>
      <c r="C30" s="10" t="inlineStr">
        <is>
          <t>2026H1</t>
        </is>
      </c>
      <c r="D30" s="22" t="inlineStr">
        <is>
          <t>关键岗位 AB 角与继任计划</t>
        </is>
      </c>
      <c r="E30" s="10" t="n">
        <v>2</v>
      </c>
      <c r="F30" s="10" t="inlineStr">
        <is>
          <t>是</t>
        </is>
      </c>
    </row>
    <row r="31">
      <c r="A31" s="10" t="inlineStr">
        <is>
          <t>C028</t>
        </is>
      </c>
      <c r="B31" s="10" t="inlineStr">
        <is>
          <t>R014</t>
        </is>
      </c>
      <c r="C31" s="10" t="inlineStr">
        <is>
          <t>2026H1</t>
        </is>
      </c>
      <c r="D31" s="22" t="inlineStr">
        <is>
          <t>入职背景调查与亲属申报</t>
        </is>
      </c>
      <c r="E31" s="10" t="n">
        <v>4</v>
      </c>
      <c r="F31" s="10" t="inlineStr">
        <is>
          <t>是</t>
        </is>
      </c>
    </row>
    <row r="32">
      <c r="A32" s="10" t="inlineStr">
        <is>
          <t>C029</t>
        </is>
      </c>
      <c r="B32" s="10" t="inlineStr">
        <is>
          <t>R015</t>
        </is>
      </c>
      <c r="C32" s="10" t="inlineStr">
        <is>
          <t>2026H1</t>
        </is>
      </c>
      <c r="D32" s="22" t="inlineStr">
        <is>
          <t>循环盘点与 ERP 条码管理</t>
        </is>
      </c>
      <c r="E32" s="10" t="n">
        <v>4</v>
      </c>
      <c r="F32" s="10" t="inlineStr">
        <is>
          <t>是</t>
        </is>
      </c>
    </row>
    <row r="33">
      <c r="A33" s="10" t="inlineStr">
        <is>
          <t>C030</t>
        </is>
      </c>
      <c r="B33" s="10" t="inlineStr">
        <is>
          <t>R016</t>
        </is>
      </c>
      <c r="C33" s="10" t="inlineStr">
        <is>
          <t>2026H1</t>
        </is>
      </c>
      <c r="D33" s="22" t="inlineStr">
        <is>
          <t>投资项目后评价制度</t>
        </is>
      </c>
      <c r="E33" s="10" t="n">
        <v>3</v>
      </c>
      <c r="F33" s="10" t="inlineStr">
        <is>
          <t>是</t>
        </is>
      </c>
    </row>
    <row r="34">
      <c r="A34" s="10" t="inlineStr">
        <is>
          <t>C031</t>
        </is>
      </c>
      <c r="B34" s="10" t="inlineStr">
        <is>
          <t>R017</t>
        </is>
      </c>
      <c r="C34" s="10" t="inlineStr">
        <is>
          <t>2026H1</t>
        </is>
      </c>
      <c r="D34" s="22" t="inlineStr">
        <is>
          <t>投资决策议事规则与可研复核</t>
        </is>
      </c>
      <c r="E34" s="10" t="n">
        <v>3</v>
      </c>
      <c r="F34" s="10" t="inlineStr">
        <is>
          <t>是</t>
        </is>
      </c>
    </row>
    <row r="35">
      <c r="A35" s="10" t="inlineStr">
        <is>
          <t>C032</t>
        </is>
      </c>
      <c r="B35" s="10" t="inlineStr">
        <is>
          <t>R018</t>
        </is>
      </c>
      <c r="C35" s="10" t="inlineStr">
        <is>
          <t>2026H1</t>
        </is>
      </c>
      <c r="D35" s="22" t="inlineStr">
        <is>
          <t>“三重一大”事项清单化与决策督办</t>
        </is>
      </c>
      <c r="E35" s="10" t="n">
        <v>4</v>
      </c>
      <c r="F35" s="10" t="inlineStr">
        <is>
          <t>是</t>
        </is>
      </c>
    </row>
    <row r="36">
      <c r="A36" s="10" t="inlineStr">
        <is>
          <t>C033</t>
        </is>
      </c>
      <c r="B36" s="10" t="inlineStr">
        <is>
          <t>R019</t>
        </is>
      </c>
      <c r="C36" s="10" t="inlineStr">
        <is>
          <t>2026H1</t>
        </is>
      </c>
      <c r="D36" s="22" t="inlineStr">
        <is>
          <t>年度税务健康检查</t>
        </is>
      </c>
      <c r="E36" s="10" t="n">
        <v>4</v>
      </c>
      <c r="F36" s="10" t="inlineStr">
        <is>
          <t>是</t>
        </is>
      </c>
    </row>
    <row r="37">
      <c r="A37" s="10" t="inlineStr">
        <is>
          <t>C034</t>
        </is>
      </c>
      <c r="B37" s="10" t="inlineStr">
        <is>
          <t>R020</t>
        </is>
      </c>
      <c r="C37" s="10" t="inlineStr">
        <is>
          <t>2026H1</t>
        </is>
      </c>
      <c r="D37" s="22" t="inlineStr">
        <is>
          <t>合同履约台账与预警</t>
        </is>
      </c>
      <c r="E37" s="10" t="n">
        <v>3</v>
      </c>
      <c r="F37" s="10" t="inlineStr">
        <is>
          <t>是</t>
        </is>
      </c>
    </row>
    <row r="38">
      <c r="A38" s="10" t="inlineStr">
        <is>
          <t>C035</t>
        </is>
      </c>
      <c r="B38" s="10" t="inlineStr">
        <is>
          <t>R021</t>
        </is>
      </c>
      <c r="C38" s="10" t="inlineStr">
        <is>
          <t>2026H1</t>
        </is>
      </c>
      <c r="D38" s="22" t="inlineStr">
        <is>
          <t>外包商准入评价与季度考核</t>
        </is>
      </c>
      <c r="E38" s="10" t="n">
        <v>3</v>
      </c>
      <c r="F38" s="10" t="inlineStr">
        <is>
          <t>是</t>
        </is>
      </c>
    </row>
    <row r="39">
      <c r="A39" s="10" t="inlineStr">
        <is>
          <t>C036</t>
        </is>
      </c>
      <c r="B39" s="10" t="inlineStr">
        <is>
          <t>R022</t>
        </is>
      </c>
      <c r="C39" s="10" t="inlineStr">
        <is>
          <t>2026H1</t>
        </is>
      </c>
      <c r="D39" s="22" t="inlineStr">
        <is>
          <t>个人信息保护影响评估</t>
        </is>
      </c>
      <c r="E39" s="10" t="n">
        <v>3</v>
      </c>
      <c r="F39" s="10" t="inlineStr">
        <is>
          <t>否</t>
        </is>
      </c>
    </row>
    <row r="40">
      <c r="A40" s="10" t="inlineStr">
        <is>
          <t>C037</t>
        </is>
      </c>
      <c r="B40" s="10" t="inlineStr">
        <is>
          <t>R022</t>
        </is>
      </c>
      <c r="C40" s="10" t="inlineStr">
        <is>
          <t>2026H1</t>
        </is>
      </c>
      <c r="D40" s="22" t="inlineStr">
        <is>
          <t>数据分类分级与出境评估</t>
        </is>
      </c>
      <c r="E40" s="10" t="n">
        <v>4</v>
      </c>
      <c r="F40" s="10" t="inlineStr">
        <is>
          <t>是</t>
        </is>
      </c>
    </row>
    <row r="41">
      <c r="A41" s="10" t="inlineStr">
        <is>
          <t>C038</t>
        </is>
      </c>
      <c r="B41" s="10" t="inlineStr">
        <is>
          <t>R023</t>
        </is>
      </c>
      <c r="C41" s="10" t="inlineStr">
        <is>
          <t>2026H1</t>
        </is>
      </c>
      <c r="D41" s="22" t="inlineStr">
        <is>
          <t>排放在线监测联网</t>
        </is>
      </c>
      <c r="E41" s="10" t="n">
        <v>4</v>
      </c>
      <c r="F41" s="10" t="inlineStr">
        <is>
          <t>是</t>
        </is>
      </c>
    </row>
    <row r="42">
      <c r="A42" s="10" t="inlineStr">
        <is>
          <t>C039</t>
        </is>
      </c>
      <c r="B42" s="10" t="inlineStr">
        <is>
          <t>R024</t>
        </is>
      </c>
      <c r="C42" s="10" t="inlineStr">
        <is>
          <t>2026H1</t>
        </is>
      </c>
      <c r="D42" s="22" t="inlineStr">
        <is>
          <t>账户年检与票据台账</t>
        </is>
      </c>
      <c r="E42" s="10" t="n">
        <v>4</v>
      </c>
      <c r="F42" s="10" t="inlineStr">
        <is>
          <t>是</t>
        </is>
      </c>
    </row>
    <row r="43">
      <c r="A43" s="10" t="inlineStr">
        <is>
          <t>C040</t>
        </is>
      </c>
      <c r="B43" s="10" t="inlineStr">
        <is>
          <t>R001</t>
        </is>
      </c>
      <c r="C43" s="10" t="inlineStr">
        <is>
          <t>2025H2</t>
        </is>
      </c>
      <c r="D43" s="22" t="inlineStr">
        <is>
          <t>人工抽查报销单据</t>
        </is>
      </c>
      <c r="E43" s="10" t="n">
        <v>2</v>
      </c>
      <c r="F43" s="10" t="inlineStr">
        <is>
          <t>是</t>
        </is>
      </c>
    </row>
    <row r="44">
      <c r="A44" s="10" t="inlineStr">
        <is>
          <t>C041</t>
        </is>
      </c>
      <c r="B44" s="10" t="inlineStr">
        <is>
          <t>R002</t>
        </is>
      </c>
      <c r="C44" s="10" t="inlineStr">
        <is>
          <t>2025H2</t>
        </is>
      </c>
      <c r="D44" s="22" t="inlineStr">
        <is>
          <t>手工收入核对表</t>
        </is>
      </c>
      <c r="E44" s="10" t="n">
        <v>2</v>
      </c>
      <c r="F44" s="10" t="inlineStr">
        <is>
          <t>是</t>
        </is>
      </c>
    </row>
    <row r="45">
      <c r="A45" s="10" t="inlineStr">
        <is>
          <t>C042</t>
        </is>
      </c>
      <c r="B45" s="10" t="inlineStr">
        <is>
          <t>R003</t>
        </is>
      </c>
      <c r="C45" s="10" t="inlineStr">
        <is>
          <t>2025H2</t>
        </is>
      </c>
      <c r="D45" s="22" t="inlineStr">
        <is>
          <t>纸质审批单流转</t>
        </is>
      </c>
      <c r="E45" s="10" t="n">
        <v>2</v>
      </c>
      <c r="F45" s="10" t="inlineStr">
        <is>
          <t>是</t>
        </is>
      </c>
    </row>
    <row r="46">
      <c r="A46" s="10" t="inlineStr">
        <is>
          <t>C043</t>
        </is>
      </c>
      <c r="B46" s="10" t="inlineStr">
        <is>
          <t>R004</t>
        </is>
      </c>
      <c r="C46" s="10" t="inlineStr">
        <is>
          <t>2025H2</t>
        </is>
      </c>
      <c r="D46" s="22" t="inlineStr">
        <is>
          <t>供应商资质人工审查</t>
        </is>
      </c>
      <c r="E46" s="10" t="n">
        <v>2</v>
      </c>
      <c r="F46" s="10" t="inlineStr">
        <is>
          <t>是</t>
        </is>
      </c>
    </row>
    <row r="47">
      <c r="A47" s="10" t="inlineStr">
        <is>
          <t>C044</t>
        </is>
      </c>
      <c r="B47" s="10" t="inlineStr">
        <is>
          <t>R005</t>
        </is>
      </c>
      <c r="C47" s="10" t="inlineStr">
        <is>
          <t>2025H2</t>
        </is>
      </c>
      <c r="D47" s="22" t="inlineStr">
        <is>
          <t>法务事后补审</t>
        </is>
      </c>
      <c r="E47" s="10" t="n">
        <v>2</v>
      </c>
      <c r="F47" s="10" t="inlineStr">
        <is>
          <t>是</t>
        </is>
      </c>
    </row>
    <row r="48">
      <c r="A48" s="10" t="inlineStr">
        <is>
          <t>C045</t>
        </is>
      </c>
      <c r="B48" s="10" t="inlineStr">
        <is>
          <t>R006</t>
        </is>
      </c>
      <c r="C48" s="10" t="inlineStr">
        <is>
          <t>2025H2</t>
        </is>
      </c>
      <c r="D48" s="22" t="inlineStr">
        <is>
          <t>单人签字验收</t>
        </is>
      </c>
      <c r="E48" s="10" t="n">
        <v>2</v>
      </c>
      <c r="F48" s="10" t="inlineStr">
        <is>
          <t>是</t>
        </is>
      </c>
    </row>
    <row r="49">
      <c r="A49" s="10" t="inlineStr">
        <is>
          <t>C046</t>
        </is>
      </c>
      <c r="B49" s="10" t="inlineStr">
        <is>
          <t>R007</t>
        </is>
      </c>
      <c r="C49" s="10" t="inlineStr">
        <is>
          <t>2025H2</t>
        </is>
      </c>
      <c r="D49" s="22" t="inlineStr">
        <is>
          <t>变更口头审批</t>
        </is>
      </c>
      <c r="E49" s="10" t="n">
        <v>2</v>
      </c>
      <c r="F49" s="10" t="inlineStr">
        <is>
          <t>是</t>
        </is>
      </c>
    </row>
    <row r="50">
      <c r="A50" s="10" t="inlineStr">
        <is>
          <t>C047</t>
        </is>
      </c>
      <c r="B50" s="10" t="inlineStr">
        <is>
          <t>R008</t>
        </is>
      </c>
      <c r="C50" s="10" t="inlineStr">
        <is>
          <t>2025H2</t>
        </is>
      </c>
      <c r="D50" s="22" t="inlineStr">
        <is>
          <t>安全例会宣贯</t>
        </is>
      </c>
      <c r="E50" s="10" t="n">
        <v>2</v>
      </c>
      <c r="F50" s="10" t="inlineStr">
        <is>
          <t>是</t>
        </is>
      </c>
    </row>
    <row r="51">
      <c r="A51" s="10" t="inlineStr">
        <is>
          <t>C048</t>
        </is>
      </c>
      <c r="B51" s="10" t="inlineStr">
        <is>
          <t>R009</t>
        </is>
      </c>
      <c r="C51" s="10" t="inlineStr">
        <is>
          <t>2025H2</t>
        </is>
      </c>
      <c r="D51" s="22" t="inlineStr">
        <is>
          <t>结算资料催办</t>
        </is>
      </c>
      <c r="E51" s="10" t="n">
        <v>2</v>
      </c>
      <c r="F51" s="10" t="inlineStr">
        <is>
          <t>是</t>
        </is>
      </c>
    </row>
    <row r="52">
      <c r="A52" s="10" t="inlineStr">
        <is>
          <t>C049</t>
        </is>
      </c>
      <c r="B52" s="10" t="inlineStr">
        <is>
          <t>R010</t>
        </is>
      </c>
      <c r="C52" s="10" t="inlineStr">
        <is>
          <t>2025H2</t>
        </is>
      </c>
      <c r="D52" s="22" t="inlineStr">
        <is>
          <t>年度一次权限梳理</t>
        </is>
      </c>
      <c r="E52" s="10" t="n">
        <v>2</v>
      </c>
      <c r="F52" s="10" t="inlineStr">
        <is>
          <t>是</t>
        </is>
      </c>
    </row>
    <row r="53">
      <c r="A53" s="10" t="inlineStr">
        <is>
          <t>C050</t>
        </is>
      </c>
      <c r="B53" s="10" t="inlineStr">
        <is>
          <t>R011</t>
        </is>
      </c>
      <c r="C53" s="10" t="inlineStr">
        <is>
          <t>2025H2</t>
        </is>
      </c>
      <c r="D53" s="22" t="inlineStr">
        <is>
          <t>本地磁带备份</t>
        </is>
      </c>
      <c r="E53" s="10" t="n">
        <v>2</v>
      </c>
      <c r="F53" s="10" t="inlineStr">
        <is>
          <t>是</t>
        </is>
      </c>
    </row>
    <row r="54">
      <c r="A54" s="10" t="inlineStr">
        <is>
          <t>C051</t>
        </is>
      </c>
      <c r="B54" s="10" t="inlineStr">
        <is>
          <t>R012</t>
        </is>
      </c>
      <c r="C54" s="10" t="inlineStr">
        <is>
          <t>2025H2</t>
        </is>
      </c>
      <c r="D54" s="22" t="inlineStr">
        <is>
          <t>边界防火墙防护</t>
        </is>
      </c>
      <c r="E54" s="10" t="n">
        <v>2</v>
      </c>
      <c r="F54" s="10" t="inlineStr">
        <is>
          <t>是</t>
        </is>
      </c>
    </row>
    <row r="55">
      <c r="A55" s="10" t="inlineStr">
        <is>
          <t>C052</t>
        </is>
      </c>
      <c r="B55" s="10" t="inlineStr">
        <is>
          <t>R013</t>
        </is>
      </c>
      <c r="C55" s="10" t="inlineStr">
        <is>
          <t>2025H2</t>
        </is>
      </c>
      <c r="D55" s="22" t="inlineStr">
        <is>
          <t>外部招聘渠道补充</t>
        </is>
      </c>
      <c r="E55" s="10" t="n">
        <v>3</v>
      </c>
      <c r="F55" s="10" t="inlineStr">
        <is>
          <t>是</t>
        </is>
      </c>
    </row>
    <row r="56">
      <c r="A56" s="10" t="inlineStr">
        <is>
          <t>C053</t>
        </is>
      </c>
      <c r="B56" s="10" t="inlineStr">
        <is>
          <t>R014</t>
        </is>
      </c>
      <c r="C56" s="10" t="inlineStr">
        <is>
          <t>2025H2</t>
        </is>
      </c>
      <c r="D56" s="22" t="inlineStr">
        <is>
          <t>入职登记表自查</t>
        </is>
      </c>
      <c r="E56" s="10" t="n">
        <v>2</v>
      </c>
      <c r="F56" s="10" t="inlineStr">
        <is>
          <t>是</t>
        </is>
      </c>
    </row>
    <row r="57">
      <c r="A57" s="10" t="inlineStr">
        <is>
          <t>C054</t>
        </is>
      </c>
      <c r="B57" s="10" t="inlineStr">
        <is>
          <t>R015</t>
        </is>
      </c>
      <c r="C57" s="10" t="inlineStr">
        <is>
          <t>2025H2</t>
        </is>
      </c>
      <c r="D57" s="22" t="inlineStr">
        <is>
          <t>年度全面盘点</t>
        </is>
      </c>
      <c r="E57" s="10" t="n">
        <v>2</v>
      </c>
      <c r="F57" s="10" t="inlineStr">
        <is>
          <t>是</t>
        </is>
      </c>
    </row>
    <row r="58">
      <c r="A58" s="10" t="inlineStr">
        <is>
          <t>C055</t>
        </is>
      </c>
      <c r="B58" s="10" t="inlineStr">
        <is>
          <t>R016</t>
        </is>
      </c>
      <c r="C58" s="10" t="inlineStr">
        <is>
          <t>2025H2</t>
        </is>
      </c>
      <c r="D58" s="22" t="inlineStr">
        <is>
          <t>闲置设备台账登记</t>
        </is>
      </c>
      <c r="E58" s="10" t="n">
        <v>2</v>
      </c>
      <c r="F58" s="10" t="inlineStr">
        <is>
          <t>是</t>
        </is>
      </c>
    </row>
    <row r="59">
      <c r="A59" s="10" t="inlineStr">
        <is>
          <t>C056</t>
        </is>
      </c>
      <c r="B59" s="10" t="inlineStr">
        <is>
          <t>R017</t>
        </is>
      </c>
      <c r="C59" s="10" t="inlineStr">
        <is>
          <t>2025H2</t>
        </is>
      </c>
      <c r="D59" s="22" t="inlineStr">
        <is>
          <t>投资决策口头意见居多</t>
        </is>
      </c>
      <c r="E59" s="10" t="n">
        <v>2</v>
      </c>
      <c r="F59" s="10" t="inlineStr">
        <is>
          <t>是</t>
        </is>
      </c>
    </row>
    <row r="60">
      <c r="A60" s="10" t="inlineStr">
        <is>
          <t>C057</t>
        </is>
      </c>
      <c r="B60" s="10" t="inlineStr">
        <is>
          <t>R018</t>
        </is>
      </c>
      <c r="C60" s="10" t="inlineStr">
        <is>
          <t>2025H2</t>
        </is>
      </c>
      <c r="D60" s="22" t="inlineStr">
        <is>
          <t>决策事项事后补记</t>
        </is>
      </c>
      <c r="E60" s="10" t="n">
        <v>2</v>
      </c>
      <c r="F60" s="10" t="inlineStr">
        <is>
          <t>是</t>
        </is>
      </c>
    </row>
    <row r="61">
      <c r="A61" s="10" t="inlineStr">
        <is>
          <t>C058</t>
        </is>
      </c>
      <c r="B61" s="10" t="inlineStr">
        <is>
          <t>R019</t>
        </is>
      </c>
      <c r="C61" s="10" t="inlineStr">
        <is>
          <t>2025H2</t>
        </is>
      </c>
      <c r="D61" s="22" t="inlineStr">
        <is>
          <t>申报数据人工复核</t>
        </is>
      </c>
      <c r="E61" s="10" t="n">
        <v>2</v>
      </c>
      <c r="F61" s="10" t="inlineStr">
        <is>
          <t>是</t>
        </is>
      </c>
    </row>
    <row r="62">
      <c r="A62" s="10" t="inlineStr">
        <is>
          <t>C059</t>
        </is>
      </c>
      <c r="B62" s="10" t="inlineStr">
        <is>
          <t>R020</t>
        </is>
      </c>
      <c r="C62" s="10" t="inlineStr">
        <is>
          <t>2025H2</t>
        </is>
      </c>
      <c r="D62" s="22" t="inlineStr">
        <is>
          <t>合同纸质台账</t>
        </is>
      </c>
      <c r="E62" s="10" t="n">
        <v>2</v>
      </c>
      <c r="F62" s="10" t="inlineStr">
        <is>
          <t>是</t>
        </is>
      </c>
    </row>
    <row r="63">
      <c r="A63" s="10" t="inlineStr">
        <is>
          <t>C060</t>
        </is>
      </c>
      <c r="B63" s="10" t="inlineStr">
        <is>
          <t>R021</t>
        </is>
      </c>
      <c r="C63" s="10" t="inlineStr">
        <is>
          <t>2025H2</t>
        </is>
      </c>
      <c r="D63" s="22" t="inlineStr">
        <is>
          <t>外包商资质一次性审查</t>
        </is>
      </c>
      <c r="E63" s="10" t="n">
        <v>2</v>
      </c>
      <c r="F63" s="10" t="inlineStr">
        <is>
          <t>是</t>
        </is>
      </c>
    </row>
    <row r="64">
      <c r="A64" s="10" t="inlineStr">
        <is>
          <t>C061</t>
        </is>
      </c>
      <c r="B64" s="10" t="inlineStr">
        <is>
          <t>R022</t>
        </is>
      </c>
      <c r="C64" s="10" t="inlineStr">
        <is>
          <t>2025H2</t>
        </is>
      </c>
      <c r="D64" s="22" t="inlineStr">
        <is>
          <t>隐私政策公示</t>
        </is>
      </c>
      <c r="E64" s="10" t="n">
        <v>2</v>
      </c>
      <c r="F64" s="10" t="inlineStr">
        <is>
          <t>是</t>
        </is>
      </c>
    </row>
    <row r="65">
      <c r="A65" s="10" t="inlineStr">
        <is>
          <t>C062</t>
        </is>
      </c>
      <c r="B65" s="10" t="inlineStr">
        <is>
          <t>R023</t>
        </is>
      </c>
      <c r="C65" s="10" t="inlineStr">
        <is>
          <t>2025H2</t>
        </is>
      </c>
      <c r="D65" s="22" t="inlineStr">
        <is>
          <t>人工填报排放数据</t>
        </is>
      </c>
      <c r="E65" s="10" t="n">
        <v>2</v>
      </c>
      <c r="F65" s="10" t="inlineStr">
        <is>
          <t>是</t>
        </is>
      </c>
    </row>
    <row r="66">
      <c r="A66" s="10" t="inlineStr">
        <is>
          <t>C063</t>
        </is>
      </c>
      <c r="B66" s="10" t="inlineStr">
        <is>
          <t>R024</t>
        </is>
      </c>
      <c r="C66" s="10" t="inlineStr">
        <is>
          <t>2025H2</t>
        </is>
      </c>
      <c r="D66" s="22" t="inlineStr">
        <is>
          <t>账户手工登记簿</t>
        </is>
      </c>
      <c r="E66" s="10" t="n">
        <v>2</v>
      </c>
      <c r="F66" s="10" t="inlineStr">
        <is>
          <t>是</t>
        </is>
      </c>
    </row>
  </sheetData>
  <dataValidations count="4">
    <dataValidation sqref="E4:E153" showDropDown="0" showInputMessage="0" showErrorMessage="0" allowBlank="1" errorTitle="评分超出范围" error="请输入 1~5 的整数" type="whole" operator="between">
      <formula1>1</formula1>
      <formula2>5</formula2>
    </dataValidation>
    <dataValidation sqref="B4:B153" showDropDown="0" showInputMessage="0" showErrorMessage="0" allowBlank="1" errorTitle="编号无效" error="请选择登记册中已有的风险编号" type="list">
      <formula1>=风险登记册!$A$4:$A$203</formula1>
    </dataValidation>
    <dataValidation sqref="C4:C153" showDropDown="0" showInputMessage="0" showErrorMessage="0" allowBlank="1" errorTitle="期间无效" error="请从下拉列表选择（期间清单在参数配置页 I 列维护）" type="list">
      <formula1>=参数配置!$I$3:$I$8</formula1>
    </dataValidation>
    <dataValidation sqref="F4:F153" showDropDown="0" showInputMessage="0" showErrorMessage="0" allowBlank="1" errorTitle="取值无效" error="请选择 是 或 否" type="list">
      <formula1>"是,否"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</cols>
  <sheetData>
    <row r="1">
      <c r="A1" s="1" t="inlineStr">
        <is>
          <t>风险热力图（可能性 × 综合影响）</t>
        </is>
      </c>
    </row>
    <row r="3">
      <c r="B3" t="inlineStr">
        <is>
          <t>评估期间筛选：</t>
        </is>
      </c>
      <c r="C3" s="25" t="inlineStr">
        <is>
          <t>2026H1</t>
        </is>
      </c>
    </row>
    <row r="5">
      <c r="B5" s="3" t="inlineStr">
        <is>
          <t>① 固有热力图 —— 格内数字为落入该格的风险数量</t>
        </is>
      </c>
    </row>
    <row r="6">
      <c r="B6" s="26" t="inlineStr">
        <is>
          <t>可能性＼影响</t>
        </is>
      </c>
      <c r="C6" s="4" t="n">
        <v>1</v>
      </c>
      <c r="D6" s="4" t="n">
        <v>2</v>
      </c>
      <c r="E6" s="4" t="n">
        <v>3</v>
      </c>
      <c r="F6" s="4" t="n">
        <v>4</v>
      </c>
      <c r="G6" s="4" t="n">
        <v>5</v>
      </c>
    </row>
    <row r="7">
      <c r="B7" s="27" t="n">
        <v>5</v>
      </c>
      <c r="C7" s="28">
        <f>COUNTIFS(风险登记册!$F$4:$F$203,IF($C$3="全部","&lt;&gt;",$C$3),风险登记册!$G$4:$G$203,$B7,风险登记册!$V$4:$V$203,C$6)</f>
        <v/>
      </c>
      <c r="D7" s="29">
        <f>COUNTIFS(风险登记册!$F$4:$F$203,IF($C$3="全部","&lt;&gt;",$C$3),风险登记册!$G$4:$G$203,$B7,风险登记册!$V$4:$V$203,D$6)</f>
        <v/>
      </c>
      <c r="E7" s="30">
        <f>COUNTIFS(风险登记册!$F$4:$F$203,IF($C$3="全部","&lt;&gt;",$C$3),风险登记册!$G$4:$G$203,$B7,风险登记册!$V$4:$V$203,E$6)</f>
        <v/>
      </c>
      <c r="F7" s="31">
        <f>COUNTIFS(风险登记册!$F$4:$F$203,IF($C$3="全部","&lt;&gt;",$C$3),风险登记册!$G$4:$G$203,$B7,风险登记册!$V$4:$V$203,F$6)</f>
        <v/>
      </c>
      <c r="G7" s="31">
        <f>COUNTIFS(风险登记册!$F$4:$F$203,IF($C$3="全部","&lt;&gt;",$C$3),风险登记册!$G$4:$G$203,$B7,风险登记册!$V$4:$V$203,G$6)</f>
        <v/>
      </c>
    </row>
    <row r="8">
      <c r="B8" s="27" t="n">
        <v>4</v>
      </c>
      <c r="C8" s="28">
        <f>COUNTIFS(风险登记册!$F$4:$F$203,IF($C$3="全部","&lt;&gt;",$C$3),风险登记册!$G$4:$G$203,$B8,风险登记册!$V$4:$V$203,C$6)</f>
        <v/>
      </c>
      <c r="D8" s="29">
        <f>COUNTIFS(风险登记册!$F$4:$F$203,IF($C$3="全部","&lt;&gt;",$C$3),风险登记册!$G$4:$G$203,$B8,风险登记册!$V$4:$V$203,D$6)</f>
        <v/>
      </c>
      <c r="E8" s="30">
        <f>COUNTIFS(风险登记册!$F$4:$F$203,IF($C$3="全部","&lt;&gt;",$C$3),风险登记册!$G$4:$G$203,$B8,风险登记册!$V$4:$V$203,E$6)</f>
        <v/>
      </c>
      <c r="F8" s="30">
        <f>COUNTIFS(风险登记册!$F$4:$F$203,IF($C$3="全部","&lt;&gt;",$C$3),风险登记册!$G$4:$G$203,$B8,风险登记册!$V$4:$V$203,F$6)</f>
        <v/>
      </c>
      <c r="G8" s="31">
        <f>COUNTIFS(风险登记册!$F$4:$F$203,IF($C$3="全部","&lt;&gt;",$C$3),风险登记册!$G$4:$G$203,$B8,风险登记册!$V$4:$V$203,G$6)</f>
        <v/>
      </c>
    </row>
    <row r="9">
      <c r="B9" s="27" t="n">
        <v>3</v>
      </c>
      <c r="C9" s="28">
        <f>COUNTIFS(风险登记册!$F$4:$F$203,IF($C$3="全部","&lt;&gt;",$C$3),风险登记册!$G$4:$G$203,$B9,风险登记册!$V$4:$V$203,C$6)</f>
        <v/>
      </c>
      <c r="D9" s="29">
        <f>COUNTIFS(风险登记册!$F$4:$F$203,IF($C$3="全部","&lt;&gt;",$C$3),风险登记册!$G$4:$G$203,$B9,风险登记册!$V$4:$V$203,D$6)</f>
        <v/>
      </c>
      <c r="E9" s="29">
        <f>COUNTIFS(风险登记册!$F$4:$F$203,IF($C$3="全部","&lt;&gt;",$C$3),风险登记册!$G$4:$G$203,$B9,风险登记册!$V$4:$V$203,E$6)</f>
        <v/>
      </c>
      <c r="F9" s="30">
        <f>COUNTIFS(风险登记册!$F$4:$F$203,IF($C$3="全部","&lt;&gt;",$C$3),风险登记册!$G$4:$G$203,$B9,风险登记册!$V$4:$V$203,F$6)</f>
        <v/>
      </c>
      <c r="G9" s="30">
        <f>COUNTIFS(风险登记册!$F$4:$F$203,IF($C$3="全部","&lt;&gt;",$C$3),风险登记册!$G$4:$G$203,$B9,风险登记册!$V$4:$V$203,G$6)</f>
        <v/>
      </c>
    </row>
    <row r="10">
      <c r="B10" s="27" t="n">
        <v>2</v>
      </c>
      <c r="C10" s="32">
        <f>COUNTIFS(风险登记册!$F$4:$F$203,IF($C$3="全部","&lt;&gt;",$C$3),风险登记册!$G$4:$G$203,$B10,风险登记册!$V$4:$V$203,C$6)</f>
        <v/>
      </c>
      <c r="D10" s="28">
        <f>COUNTIFS(风险登记册!$F$4:$F$203,IF($C$3="全部","&lt;&gt;",$C$3),风险登记册!$G$4:$G$203,$B10,风险登记册!$V$4:$V$203,D$6)</f>
        <v/>
      </c>
      <c r="E10" s="29">
        <f>COUNTIFS(风险登记册!$F$4:$F$203,IF($C$3="全部","&lt;&gt;",$C$3),风险登记册!$G$4:$G$203,$B10,风险登记册!$V$4:$V$203,E$6)</f>
        <v/>
      </c>
      <c r="F10" s="29">
        <f>COUNTIFS(风险登记册!$F$4:$F$203,IF($C$3="全部","&lt;&gt;",$C$3),风险登记册!$G$4:$G$203,$B10,风险登记册!$V$4:$V$203,F$6)</f>
        <v/>
      </c>
      <c r="G10" s="29">
        <f>COUNTIFS(风险登记册!$F$4:$F$203,IF($C$3="全部","&lt;&gt;",$C$3),风险登记册!$G$4:$G$203,$B10,风险登记册!$V$4:$V$203,G$6)</f>
        <v/>
      </c>
    </row>
    <row r="11">
      <c r="B11" s="27" t="n">
        <v>1</v>
      </c>
      <c r="C11" s="32">
        <f>COUNTIFS(风险登记册!$F$4:$F$203,IF($C$3="全部","&lt;&gt;",$C$3),风险登记册!$G$4:$G$203,$B11,风险登记册!$V$4:$V$203,C$6)</f>
        <v/>
      </c>
      <c r="D11" s="32">
        <f>COUNTIFS(风险登记册!$F$4:$F$203,IF($C$3="全部","&lt;&gt;",$C$3),风险登记册!$G$4:$G$203,$B11,风险登记册!$V$4:$V$203,D$6)</f>
        <v/>
      </c>
      <c r="E11" s="28">
        <f>COUNTIFS(风险登记册!$F$4:$F$203,IF($C$3="全部","&lt;&gt;",$C$3),风险登记册!$G$4:$G$203,$B11,风险登记册!$V$4:$V$203,E$6)</f>
        <v/>
      </c>
      <c r="F11" s="28">
        <f>COUNTIFS(风险登记册!$F$4:$F$203,IF($C$3="全部","&lt;&gt;",$C$3),风险登记册!$G$4:$G$203,$B11,风险登记册!$V$4:$V$203,F$6)</f>
        <v/>
      </c>
      <c r="G11" s="28">
        <f>COUNTIFS(风险登记册!$F$4:$F$203,IF($C$3="全部","&lt;&gt;",$C$3),风险登记册!$G$4:$G$203,$B11,风险登记册!$V$4:$V$203,G$6)</f>
        <v/>
      </c>
    </row>
    <row r="13">
      <c r="B13" s="3" t="inlineStr">
        <is>
          <t>② 剩余热力图 —— 格内数字为该位置风险的剩余分均值（底色按均值联动阈值）</t>
        </is>
      </c>
    </row>
    <row r="14">
      <c r="B14" s="26" t="inlineStr">
        <is>
          <t>可能性＼影响</t>
        </is>
      </c>
      <c r="C14" s="4" t="n">
        <v>1</v>
      </c>
      <c r="D14" s="4" t="n">
        <v>2</v>
      </c>
      <c r="E14" s="4" t="n">
        <v>3</v>
      </c>
      <c r="F14" s="4" t="n">
        <v>4</v>
      </c>
      <c r="G14" s="4" t="n">
        <v>5</v>
      </c>
    </row>
    <row r="15">
      <c r="B15" s="27" t="n">
        <v>5</v>
      </c>
      <c r="C15" s="33">
        <f>IFERROR(AVERAGEIFS(风险登记册!$T$4:$T$203,风险登记册!$F$4:$F$203,IF($C$3="全部","&lt;&gt;",$C$3),风险登记册!$G$4:$G$203,$B15,风险登记册!$V$4:$V$203,C$14),"")</f>
        <v/>
      </c>
      <c r="D15" s="33">
        <f>IFERROR(AVERAGEIFS(风险登记册!$T$4:$T$203,风险登记册!$F$4:$F$203,IF($C$3="全部","&lt;&gt;",$C$3),风险登记册!$G$4:$G$203,$B15,风险登记册!$V$4:$V$203,D$14),"")</f>
        <v/>
      </c>
      <c r="E15" s="33">
        <f>IFERROR(AVERAGEIFS(风险登记册!$T$4:$T$203,风险登记册!$F$4:$F$203,IF($C$3="全部","&lt;&gt;",$C$3),风险登记册!$G$4:$G$203,$B15,风险登记册!$V$4:$V$203,E$14),"")</f>
        <v/>
      </c>
      <c r="F15" s="33">
        <f>IFERROR(AVERAGEIFS(风险登记册!$T$4:$T$203,风险登记册!$F$4:$F$203,IF($C$3="全部","&lt;&gt;",$C$3),风险登记册!$G$4:$G$203,$B15,风险登记册!$V$4:$V$203,F$14),"")</f>
        <v/>
      </c>
      <c r="G15" s="33">
        <f>IFERROR(AVERAGEIFS(风险登记册!$T$4:$T$203,风险登记册!$F$4:$F$203,IF($C$3="全部","&lt;&gt;",$C$3),风险登记册!$G$4:$G$203,$B15,风险登记册!$V$4:$V$203,G$14),"")</f>
        <v/>
      </c>
    </row>
    <row r="16">
      <c r="B16" s="27" t="n">
        <v>4</v>
      </c>
      <c r="C16" s="33">
        <f>IFERROR(AVERAGEIFS(风险登记册!$T$4:$T$203,风险登记册!$F$4:$F$203,IF($C$3="全部","&lt;&gt;",$C$3),风险登记册!$G$4:$G$203,$B16,风险登记册!$V$4:$V$203,C$14),"")</f>
        <v/>
      </c>
      <c r="D16" s="33">
        <f>IFERROR(AVERAGEIFS(风险登记册!$T$4:$T$203,风险登记册!$F$4:$F$203,IF($C$3="全部","&lt;&gt;",$C$3),风险登记册!$G$4:$G$203,$B16,风险登记册!$V$4:$V$203,D$14),"")</f>
        <v/>
      </c>
      <c r="E16" s="33">
        <f>IFERROR(AVERAGEIFS(风险登记册!$T$4:$T$203,风险登记册!$F$4:$F$203,IF($C$3="全部","&lt;&gt;",$C$3),风险登记册!$G$4:$G$203,$B16,风险登记册!$V$4:$V$203,E$14),"")</f>
        <v/>
      </c>
      <c r="F16" s="33">
        <f>IFERROR(AVERAGEIFS(风险登记册!$T$4:$T$203,风险登记册!$F$4:$F$203,IF($C$3="全部","&lt;&gt;",$C$3),风险登记册!$G$4:$G$203,$B16,风险登记册!$V$4:$V$203,F$14),"")</f>
        <v/>
      </c>
      <c r="G16" s="33">
        <f>IFERROR(AVERAGEIFS(风险登记册!$T$4:$T$203,风险登记册!$F$4:$F$203,IF($C$3="全部","&lt;&gt;",$C$3),风险登记册!$G$4:$G$203,$B16,风险登记册!$V$4:$V$203,G$14),"")</f>
        <v/>
      </c>
    </row>
    <row r="17">
      <c r="B17" s="27" t="n">
        <v>3</v>
      </c>
      <c r="C17" s="33">
        <f>IFERROR(AVERAGEIFS(风险登记册!$T$4:$T$203,风险登记册!$F$4:$F$203,IF($C$3="全部","&lt;&gt;",$C$3),风险登记册!$G$4:$G$203,$B17,风险登记册!$V$4:$V$203,C$14),"")</f>
        <v/>
      </c>
      <c r="D17" s="33">
        <f>IFERROR(AVERAGEIFS(风险登记册!$T$4:$T$203,风险登记册!$F$4:$F$203,IF($C$3="全部","&lt;&gt;",$C$3),风险登记册!$G$4:$G$203,$B17,风险登记册!$V$4:$V$203,D$14),"")</f>
        <v/>
      </c>
      <c r="E17" s="33">
        <f>IFERROR(AVERAGEIFS(风险登记册!$T$4:$T$203,风险登记册!$F$4:$F$203,IF($C$3="全部","&lt;&gt;",$C$3),风险登记册!$G$4:$G$203,$B17,风险登记册!$V$4:$V$203,E$14),"")</f>
        <v/>
      </c>
      <c r="F17" s="33">
        <f>IFERROR(AVERAGEIFS(风险登记册!$T$4:$T$203,风险登记册!$F$4:$F$203,IF($C$3="全部","&lt;&gt;",$C$3),风险登记册!$G$4:$G$203,$B17,风险登记册!$V$4:$V$203,F$14),"")</f>
        <v/>
      </c>
      <c r="G17" s="33">
        <f>IFERROR(AVERAGEIFS(风险登记册!$T$4:$T$203,风险登记册!$F$4:$F$203,IF($C$3="全部","&lt;&gt;",$C$3),风险登记册!$G$4:$G$203,$B17,风险登记册!$V$4:$V$203,G$14),"")</f>
        <v/>
      </c>
    </row>
    <row r="18">
      <c r="B18" s="27" t="n">
        <v>2</v>
      </c>
      <c r="C18" s="33">
        <f>IFERROR(AVERAGEIFS(风险登记册!$T$4:$T$203,风险登记册!$F$4:$F$203,IF($C$3="全部","&lt;&gt;",$C$3),风险登记册!$G$4:$G$203,$B18,风险登记册!$V$4:$V$203,C$14),"")</f>
        <v/>
      </c>
      <c r="D18" s="33">
        <f>IFERROR(AVERAGEIFS(风险登记册!$T$4:$T$203,风险登记册!$F$4:$F$203,IF($C$3="全部","&lt;&gt;",$C$3),风险登记册!$G$4:$G$203,$B18,风险登记册!$V$4:$V$203,D$14),"")</f>
        <v/>
      </c>
      <c r="E18" s="33">
        <f>IFERROR(AVERAGEIFS(风险登记册!$T$4:$T$203,风险登记册!$F$4:$F$203,IF($C$3="全部","&lt;&gt;",$C$3),风险登记册!$G$4:$G$203,$B18,风险登记册!$V$4:$V$203,E$14),"")</f>
        <v/>
      </c>
      <c r="F18" s="33">
        <f>IFERROR(AVERAGEIFS(风险登记册!$T$4:$T$203,风险登记册!$F$4:$F$203,IF($C$3="全部","&lt;&gt;",$C$3),风险登记册!$G$4:$G$203,$B18,风险登记册!$V$4:$V$203,F$14),"")</f>
        <v/>
      </c>
      <c r="G18" s="33">
        <f>IFERROR(AVERAGEIFS(风险登记册!$T$4:$T$203,风险登记册!$F$4:$F$203,IF($C$3="全部","&lt;&gt;",$C$3),风险登记册!$G$4:$G$203,$B18,风险登记册!$V$4:$V$203,G$14),"")</f>
        <v/>
      </c>
    </row>
    <row r="19">
      <c r="B19" s="27" t="n">
        <v>1</v>
      </c>
      <c r="C19" s="33">
        <f>IFERROR(AVERAGEIFS(风险登记册!$T$4:$T$203,风险登记册!$F$4:$F$203,IF($C$3="全部","&lt;&gt;",$C$3),风险登记册!$G$4:$G$203,$B19,风险登记册!$V$4:$V$203,C$14),"")</f>
        <v/>
      </c>
      <c r="D19" s="33">
        <f>IFERROR(AVERAGEIFS(风险登记册!$T$4:$T$203,风险登记册!$F$4:$F$203,IF($C$3="全部","&lt;&gt;",$C$3),风险登记册!$G$4:$G$203,$B19,风险登记册!$V$4:$V$203,D$14),"")</f>
        <v/>
      </c>
      <c r="E19" s="33">
        <f>IFERROR(AVERAGEIFS(风险登记册!$T$4:$T$203,风险登记册!$F$4:$F$203,IF($C$3="全部","&lt;&gt;",$C$3),风险登记册!$G$4:$G$203,$B19,风险登记册!$V$4:$V$203,E$14),"")</f>
        <v/>
      </c>
      <c r="F19" s="33">
        <f>IFERROR(AVERAGEIFS(风险登记册!$T$4:$T$203,风险登记册!$F$4:$F$203,IF($C$3="全部","&lt;&gt;",$C$3),风险登记册!$G$4:$G$203,$B19,风险登记册!$V$4:$V$203,F$14),"")</f>
        <v/>
      </c>
      <c r="G19" s="33">
        <f>IFERROR(AVERAGEIFS(风险登记册!$T$4:$T$203,风险登记册!$F$4:$F$203,IF($C$3="全部","&lt;&gt;",$C$3),风险登记册!$G$4:$G$203,$B19,风险登记册!$V$4:$V$203,G$14),"")</f>
        <v/>
      </c>
    </row>
    <row r="21">
      <c r="B21" s="3" t="inlineStr">
        <is>
          <t>图例</t>
        </is>
      </c>
    </row>
    <row r="22">
      <c r="C22" s="14" t="inlineStr">
        <is>
          <t>极高</t>
        </is>
      </c>
      <c r="E22" s="15" t="inlineStr">
        <is>
          <t>高</t>
        </is>
      </c>
      <c r="G22" s="16" t="inlineStr">
        <is>
          <t>中</t>
        </is>
      </c>
    </row>
    <row r="23">
      <c r="C23" s="17" t="inlineStr">
        <is>
          <t>低</t>
        </is>
      </c>
      <c r="E23" s="18" t="inlineStr">
        <is>
          <t>极低</t>
        </is>
      </c>
    </row>
    <row r="25">
      <c r="B25" s="2" t="inlineStr">
        <is>
          <t>说明：固有矩阵定位＝(发生可能性, 综合影响取整)；剩余矩阵同一坐标展示控制后的平均剩余分。逐条风险的精确剩余分见「汇总与优先级」页。</t>
        </is>
      </c>
    </row>
  </sheetData>
  <conditionalFormatting sqref="C15:G19">
    <cfRule type="expression" priority="1" dxfId="6" stopIfTrue="1">
      <formula>AND(ISNUMBER(C15),C15&gt;=参数配置!$B$14)</formula>
    </cfRule>
    <cfRule type="expression" priority="2" dxfId="7" stopIfTrue="1">
      <formula>AND(ISNUMBER(C15),C15&gt;=参数配置!$B$15,C15&lt;参数配置!$B$14)</formula>
    </cfRule>
    <cfRule type="expression" priority="3" dxfId="8" stopIfTrue="1">
      <formula>AND(ISNUMBER(C15),C15&gt;=参数配置!$B$16,C15&lt;参数配置!$B$15)</formula>
    </cfRule>
    <cfRule type="expression" priority="4" dxfId="9" stopIfTrue="1">
      <formula>AND(ISNUMBER(C15),C15&gt;=参数配置!$B$17,C15&lt;参数配置!$B$16)</formula>
    </cfRule>
    <cfRule type="expression" priority="5" dxfId="10" stopIfTrue="1">
      <formula>AND(ISNUMBER(C15),C15&lt;参数配置!$B$17)</formula>
    </cfRule>
  </conditionalFormatting>
  <dataValidations count="1">
    <dataValidation sqref="C3" showDropDown="0" showInputMessage="0" showErrorMessage="0" allowBlank="0" type="list">
      <formula1>=参数配置!$I$2:$I$8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K1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22" customWidth="1" min="3" max="3"/>
    <col width="13" customWidth="1" min="4" max="4"/>
    <col width="12" customWidth="1" min="5" max="5"/>
    <col width="8" customWidth="1" min="6" max="6"/>
    <col width="9" customWidth="1" min="7" max="7"/>
    <col width="10" customWidth="1" min="8" max="8"/>
    <col width="9" customWidth="1" min="9" max="9"/>
    <col width="9" customWidth="1" min="10" max="10"/>
    <col width="10" customWidth="1" min="11" max="11"/>
  </cols>
  <sheetData>
    <row r="1">
      <c r="A1" s="1" t="inlineStr">
        <is>
          <t>汇总统计与年度审计优先级清单</t>
        </is>
      </c>
    </row>
    <row r="2">
      <c r="A2" t="inlineStr">
        <is>
          <t>评估期间（联动热力图页）：</t>
        </is>
      </c>
      <c r="B2" s="34">
        <f>热力图!$C$3</f>
        <v/>
      </c>
    </row>
    <row r="4">
      <c r="A4" s="3" t="inlineStr">
        <is>
          <t>一、领域汇总</t>
        </is>
      </c>
    </row>
    <row r="5" ht="22" customHeight="1">
      <c r="A5" s="4" t="inlineStr">
        <is>
          <t>领域</t>
        </is>
      </c>
      <c r="B5" s="4" t="inlineStr">
        <is>
          <t>风险数</t>
        </is>
      </c>
      <c r="C5" s="4" t="inlineStr">
        <is>
          <t>平均剩余分</t>
        </is>
      </c>
      <c r="D5" s="4" t="inlineStr">
        <is>
          <t>最高剩余分</t>
        </is>
      </c>
      <c r="E5" s="4" t="inlineStr">
        <is>
          <t>极高数</t>
        </is>
      </c>
      <c r="F5" s="4" t="inlineStr">
        <is>
          <t>高数</t>
        </is>
      </c>
      <c r="G5" s="4" t="inlineStr">
        <is>
          <t>平均控制挽回率</t>
        </is>
      </c>
    </row>
    <row r="6">
      <c r="A6" s="19" t="inlineStr">
        <is>
          <t>战略与投资</t>
        </is>
      </c>
      <c r="B6" s="5">
        <f>COUNTIFS(风险登记册!$C$4:$C$203,$A6,风险登记册!$F$4:$F$203,IF($B$2="全部","&lt;&gt;",$B$2))</f>
        <v/>
      </c>
      <c r="C6" s="33">
        <f>IFERROR(ROUND(AVERAGEIFS(风险登记册!$T$4:$T$203,风险登记册!$C$4:$C$203,$A6,风险登记册!$F$4:$F$203,IF($B$2="全部","&lt;&gt;",$B$2)),2),"—")</f>
        <v/>
      </c>
      <c r="D6" s="5">
        <f>IFERROR(MAXIFS(风险登记册!$T$4:$T$203,风险登记册!$C$4:$C$203,$A6,风险登记册!$F$4:$F$203,IF($B$2="全部","&lt;&gt;",$B$2)),"—")</f>
        <v/>
      </c>
      <c r="E6" s="5">
        <f>COUNTIFS(风险登记册!$U$4:$U$203,"极高",风险登记册!$C$4:$C$203,$A6,风险登记册!$F$4:$F$203,IF($B$2="全部","&lt;&gt;",$B$2))</f>
        <v/>
      </c>
      <c r="F6" s="5">
        <f>COUNTIFS(风险登记册!$U$4:$U$203,"高",风险登记册!$C$4:$C$203,$A6,风险登记册!$F$4:$F$203,IF($B$2="全部","&lt;&gt;",$B$2))</f>
        <v/>
      </c>
      <c r="G6" s="21">
        <f>IFERROR(AVERAGEIFS(风险登记册!$Y$4:$Y$203,风险登记册!$C$4:$C$203,$A6,风险登记册!$F$4:$F$203,IF($B$2="全部","&lt;&gt;",$B$2)),"—")</f>
        <v/>
      </c>
    </row>
    <row r="7">
      <c r="A7" s="19" t="inlineStr">
        <is>
          <t>治理与决策</t>
        </is>
      </c>
      <c r="B7" s="5">
        <f>COUNTIFS(风险登记册!$C$4:$C$203,$A7,风险登记册!$F$4:$F$203,IF($B$2="全部","&lt;&gt;",$B$2))</f>
        <v/>
      </c>
      <c r="C7" s="33">
        <f>IFERROR(ROUND(AVERAGEIFS(风险登记册!$T$4:$T$203,风险登记册!$C$4:$C$203,$A7,风险登记册!$F$4:$F$203,IF($B$2="全部","&lt;&gt;",$B$2)),2),"—")</f>
        <v/>
      </c>
      <c r="D7" s="5">
        <f>IFERROR(MAXIFS(风险登记册!$T$4:$T$203,风险登记册!$C$4:$C$203,$A7,风险登记册!$F$4:$F$203,IF($B$2="全部","&lt;&gt;",$B$2)),"—")</f>
        <v/>
      </c>
      <c r="E7" s="5">
        <f>COUNTIFS(风险登记册!$U$4:$U$203,"极高",风险登记册!$C$4:$C$203,$A7,风险登记册!$F$4:$F$203,IF($B$2="全部","&lt;&gt;",$B$2))</f>
        <v/>
      </c>
      <c r="F7" s="5">
        <f>COUNTIFS(风险登记册!$U$4:$U$203,"高",风险登记册!$C$4:$C$203,$A7,风险登记册!$F$4:$F$203,IF($B$2="全部","&lt;&gt;",$B$2))</f>
        <v/>
      </c>
      <c r="G7" s="21">
        <f>IFERROR(AVERAGEIFS(风险登记册!$Y$4:$Y$203,风险登记册!$C$4:$C$203,$A7,风险登记册!$F$4:$F$203,IF($B$2="全部","&lt;&gt;",$B$2)),"—")</f>
        <v/>
      </c>
    </row>
    <row r="8">
      <c r="A8" s="19" t="inlineStr">
        <is>
          <t>资金活动</t>
        </is>
      </c>
      <c r="B8" s="5">
        <f>COUNTIFS(风险登记册!$C$4:$C$203,$A8,风险登记册!$F$4:$F$203,IF($B$2="全部","&lt;&gt;",$B$2))</f>
        <v/>
      </c>
      <c r="C8" s="33">
        <f>IFERROR(ROUND(AVERAGEIFS(风险登记册!$T$4:$T$203,风险登记册!$C$4:$C$203,$A8,风险登记册!$F$4:$F$203,IF($B$2="全部","&lt;&gt;",$B$2)),2),"—")</f>
        <v/>
      </c>
      <c r="D8" s="5">
        <f>IFERROR(MAXIFS(风险登记册!$T$4:$T$203,风险登记册!$C$4:$C$203,$A8,风险登记册!$F$4:$F$203,IF($B$2="全部","&lt;&gt;",$B$2)),"—")</f>
        <v/>
      </c>
      <c r="E8" s="5">
        <f>COUNTIFS(风险登记册!$U$4:$U$203,"极高",风险登记册!$C$4:$C$203,$A8,风险登记册!$F$4:$F$203,IF($B$2="全部","&lt;&gt;",$B$2))</f>
        <v/>
      </c>
      <c r="F8" s="5">
        <f>COUNTIFS(风险登记册!$U$4:$U$203,"高",风险登记册!$C$4:$C$203,$A8,风险登记册!$F$4:$F$203,IF($B$2="全部","&lt;&gt;",$B$2))</f>
        <v/>
      </c>
      <c r="G8" s="21">
        <f>IFERROR(AVERAGEIFS(风险登记册!$Y$4:$Y$203,风险登记册!$C$4:$C$203,$A8,风险登记册!$F$4:$F$203,IF($B$2="全部","&lt;&gt;",$B$2)),"—")</f>
        <v/>
      </c>
    </row>
    <row r="9">
      <c r="A9" s="19" t="inlineStr">
        <is>
          <t>财务报告与税务</t>
        </is>
      </c>
      <c r="B9" s="5">
        <f>COUNTIFS(风险登记册!$C$4:$C$203,$A9,风险登记册!$F$4:$F$203,IF($B$2="全部","&lt;&gt;",$B$2))</f>
        <v/>
      </c>
      <c r="C9" s="33">
        <f>IFERROR(ROUND(AVERAGEIFS(风险登记册!$T$4:$T$203,风险登记册!$C$4:$C$203,$A9,风险登记册!$F$4:$F$203,IF($B$2="全部","&lt;&gt;",$B$2)),2),"—")</f>
        <v/>
      </c>
      <c r="D9" s="5">
        <f>IFERROR(MAXIFS(风险登记册!$T$4:$T$203,风险登记册!$C$4:$C$203,$A9,风险登记册!$F$4:$F$203,IF($B$2="全部","&lt;&gt;",$B$2)),"—")</f>
        <v/>
      </c>
      <c r="E9" s="5">
        <f>COUNTIFS(风险登记册!$U$4:$U$203,"极高",风险登记册!$C$4:$C$203,$A9,风险登记册!$F$4:$F$203,IF($B$2="全部","&lt;&gt;",$B$2))</f>
        <v/>
      </c>
      <c r="F9" s="5">
        <f>COUNTIFS(风险登记册!$U$4:$U$203,"高",风险登记册!$C$4:$C$203,$A9,风险登记册!$F$4:$F$203,IF($B$2="全部","&lt;&gt;",$B$2))</f>
        <v/>
      </c>
      <c r="G9" s="21">
        <f>IFERROR(AVERAGEIFS(风险登记册!$Y$4:$Y$203,风险登记册!$C$4:$C$203,$A9,风险登记册!$F$4:$F$203,IF($B$2="全部","&lt;&gt;",$B$2)),"—")</f>
        <v/>
      </c>
    </row>
    <row r="10">
      <c r="A10" s="19" t="inlineStr">
        <is>
          <t>资产管理</t>
        </is>
      </c>
      <c r="B10" s="5">
        <f>COUNTIFS(风险登记册!$C$4:$C$203,$A10,风险登记册!$F$4:$F$203,IF($B$2="全部","&lt;&gt;",$B$2))</f>
        <v/>
      </c>
      <c r="C10" s="33">
        <f>IFERROR(ROUND(AVERAGEIFS(风险登记册!$T$4:$T$203,风险登记册!$C$4:$C$203,$A10,风险登记册!$F$4:$F$203,IF($B$2="全部","&lt;&gt;",$B$2)),2),"—")</f>
        <v/>
      </c>
      <c r="D10" s="5">
        <f>IFERROR(MAXIFS(风险登记册!$T$4:$T$203,风险登记册!$C$4:$C$203,$A10,风险登记册!$F$4:$F$203,IF($B$2="全部","&lt;&gt;",$B$2)),"—")</f>
        <v/>
      </c>
      <c r="E10" s="5">
        <f>COUNTIFS(风险登记册!$U$4:$U$203,"极高",风险登记册!$C$4:$C$203,$A10,风险登记册!$F$4:$F$203,IF($B$2="全部","&lt;&gt;",$B$2))</f>
        <v/>
      </c>
      <c r="F10" s="5">
        <f>COUNTIFS(风险登记册!$U$4:$U$203,"高",风险登记册!$C$4:$C$203,$A10,风险登记册!$F$4:$F$203,IF($B$2="全部","&lt;&gt;",$B$2))</f>
        <v/>
      </c>
      <c r="G10" s="21">
        <f>IFERROR(AVERAGEIFS(风险登记册!$Y$4:$Y$203,风险登记册!$C$4:$C$203,$A10,风险登记册!$F$4:$F$203,IF($B$2="全部","&lt;&gt;",$B$2)),"—")</f>
        <v/>
      </c>
    </row>
    <row r="11">
      <c r="A11" s="19" t="inlineStr">
        <is>
          <t>采购与外包</t>
        </is>
      </c>
      <c r="B11" s="5">
        <f>COUNTIFS(风险登记册!$C$4:$C$203,$A11,风险登记册!$F$4:$F$203,IF($B$2="全部","&lt;&gt;",$B$2))</f>
        <v/>
      </c>
      <c r="C11" s="33">
        <f>IFERROR(ROUND(AVERAGEIFS(风险登记册!$T$4:$T$203,风险登记册!$C$4:$C$203,$A11,风险登记册!$F$4:$F$203,IF($B$2="全部","&lt;&gt;",$B$2)),2),"—")</f>
        <v/>
      </c>
      <c r="D11" s="5">
        <f>IFERROR(MAXIFS(风险登记册!$T$4:$T$203,风险登记册!$C$4:$C$203,$A11,风险登记册!$F$4:$F$203,IF($B$2="全部","&lt;&gt;",$B$2)),"—")</f>
        <v/>
      </c>
      <c r="E11" s="5">
        <f>COUNTIFS(风险登记册!$U$4:$U$203,"极高",风险登记册!$C$4:$C$203,$A11,风险登记册!$F$4:$F$203,IF($B$2="全部","&lt;&gt;",$B$2))</f>
        <v/>
      </c>
      <c r="F11" s="5">
        <f>COUNTIFS(风险登记册!$U$4:$U$203,"高",风险登记册!$C$4:$C$203,$A11,风险登记册!$F$4:$F$203,IF($B$2="全部","&lt;&gt;",$B$2))</f>
        <v/>
      </c>
      <c r="G11" s="21">
        <f>IFERROR(AVERAGEIFS(风险登记册!$Y$4:$Y$203,风险登记册!$C$4:$C$203,$A11,风险登记册!$F$4:$F$203,IF($B$2="全部","&lt;&gt;",$B$2)),"—")</f>
        <v/>
      </c>
    </row>
    <row r="12">
      <c r="A12" s="19" t="inlineStr">
        <is>
          <t>合同管理</t>
        </is>
      </c>
      <c r="B12" s="5">
        <f>COUNTIFS(风险登记册!$C$4:$C$203,$A12,风险登记册!$F$4:$F$203,IF($B$2="全部","&lt;&gt;",$B$2))</f>
        <v/>
      </c>
      <c r="C12" s="33">
        <f>IFERROR(ROUND(AVERAGEIFS(风险登记册!$T$4:$T$203,风险登记册!$C$4:$C$203,$A12,风险登记册!$F$4:$F$203,IF($B$2="全部","&lt;&gt;",$B$2)),2),"—")</f>
        <v/>
      </c>
      <c r="D12" s="5">
        <f>IFERROR(MAXIFS(风险登记册!$T$4:$T$203,风险登记册!$C$4:$C$203,$A12,风险登记册!$F$4:$F$203,IF($B$2="全部","&lt;&gt;",$B$2)),"—")</f>
        <v/>
      </c>
      <c r="E12" s="5">
        <f>COUNTIFS(风险登记册!$U$4:$U$203,"极高",风险登记册!$C$4:$C$203,$A12,风险登记册!$F$4:$F$203,IF($B$2="全部","&lt;&gt;",$B$2))</f>
        <v/>
      </c>
      <c r="F12" s="5">
        <f>COUNTIFS(风险登记册!$U$4:$U$203,"高",风险登记册!$C$4:$C$203,$A12,风险登记册!$F$4:$F$203,IF($B$2="全部","&lt;&gt;",$B$2))</f>
        <v/>
      </c>
      <c r="G12" s="21">
        <f>IFERROR(AVERAGEIFS(风险登记册!$Y$4:$Y$203,风险登记册!$C$4:$C$203,$A12,风险登记册!$F$4:$F$203,IF($B$2="全部","&lt;&gt;",$B$2)),"—")</f>
        <v/>
      </c>
    </row>
    <row r="13">
      <c r="A13" s="19" t="inlineStr">
        <is>
          <t>工程项目</t>
        </is>
      </c>
      <c r="B13" s="5">
        <f>COUNTIFS(风险登记册!$C$4:$C$203,$A13,风险登记册!$F$4:$F$203,IF($B$2="全部","&lt;&gt;",$B$2))</f>
        <v/>
      </c>
      <c r="C13" s="33">
        <f>IFERROR(ROUND(AVERAGEIFS(风险登记册!$T$4:$T$203,风险登记册!$C$4:$C$203,$A13,风险登记册!$F$4:$F$203,IF($B$2="全部","&lt;&gt;",$B$2)),2),"—")</f>
        <v/>
      </c>
      <c r="D13" s="5">
        <f>IFERROR(MAXIFS(风险登记册!$T$4:$T$203,风险登记册!$C$4:$C$203,$A13,风险登记册!$F$4:$F$203,IF($B$2="全部","&lt;&gt;",$B$2)),"—")</f>
        <v/>
      </c>
      <c r="E13" s="5">
        <f>COUNTIFS(风险登记册!$U$4:$U$203,"极高",风险登记册!$C$4:$C$203,$A13,风险登记册!$F$4:$F$203,IF($B$2="全部","&lt;&gt;",$B$2))</f>
        <v/>
      </c>
      <c r="F13" s="5">
        <f>COUNTIFS(风险登记册!$U$4:$U$203,"高",风险登记册!$C$4:$C$203,$A13,风险登记册!$F$4:$F$203,IF($B$2="全部","&lt;&gt;",$B$2))</f>
        <v/>
      </c>
      <c r="G13" s="21">
        <f>IFERROR(AVERAGEIFS(风险登记册!$Y$4:$Y$203,风险登记册!$C$4:$C$203,$A13,风险登记册!$F$4:$F$203,IF($B$2="全部","&lt;&gt;",$B$2)),"—")</f>
        <v/>
      </c>
    </row>
    <row r="14">
      <c r="A14" s="19" t="inlineStr">
        <is>
          <t>人力资源</t>
        </is>
      </c>
      <c r="B14" s="5">
        <f>COUNTIFS(风险登记册!$C$4:$C$203,$A14,风险登记册!$F$4:$F$203,IF($B$2="全部","&lt;&gt;",$B$2))</f>
        <v/>
      </c>
      <c r="C14" s="33">
        <f>IFERROR(ROUND(AVERAGEIFS(风险登记册!$T$4:$T$203,风险登记册!$C$4:$C$203,$A14,风险登记册!$F$4:$F$203,IF($B$2="全部","&lt;&gt;",$B$2)),2),"—")</f>
        <v/>
      </c>
      <c r="D14" s="5">
        <f>IFERROR(MAXIFS(风险登记册!$T$4:$T$203,风险登记册!$C$4:$C$203,$A14,风险登记册!$F$4:$F$203,IF($B$2="全部","&lt;&gt;",$B$2)),"—")</f>
        <v/>
      </c>
      <c r="E14" s="5">
        <f>COUNTIFS(风险登记册!$U$4:$U$203,"极高",风险登记册!$C$4:$C$203,$A14,风险登记册!$F$4:$F$203,IF($B$2="全部","&lt;&gt;",$B$2))</f>
        <v/>
      </c>
      <c r="F14" s="5">
        <f>COUNTIFS(风险登记册!$U$4:$U$203,"高",风险登记册!$C$4:$C$203,$A14,风险登记册!$F$4:$F$203,IF($B$2="全部","&lt;&gt;",$B$2))</f>
        <v/>
      </c>
      <c r="G14" s="21">
        <f>IFERROR(AVERAGEIFS(风险登记册!$Y$4:$Y$203,风险登记册!$C$4:$C$203,$A14,风险登记册!$F$4:$F$203,IF($B$2="全部","&lt;&gt;",$B$2)),"—")</f>
        <v/>
      </c>
    </row>
    <row r="15">
      <c r="A15" s="19" t="inlineStr">
        <is>
          <t>信息系统</t>
        </is>
      </c>
      <c r="B15" s="5">
        <f>COUNTIFS(风险登记册!$C$4:$C$203,$A15,风险登记册!$F$4:$F$203,IF($B$2="全部","&lt;&gt;",$B$2))</f>
        <v/>
      </c>
      <c r="C15" s="33">
        <f>IFERROR(ROUND(AVERAGEIFS(风险登记册!$T$4:$T$203,风险登记册!$C$4:$C$203,$A15,风险登记册!$F$4:$F$203,IF($B$2="全部","&lt;&gt;",$B$2)),2),"—")</f>
        <v/>
      </c>
      <c r="D15" s="5">
        <f>IFERROR(MAXIFS(风险登记册!$T$4:$T$203,风险登记册!$C$4:$C$203,$A15,风险登记册!$F$4:$F$203,IF($B$2="全部","&lt;&gt;",$B$2)),"—")</f>
        <v/>
      </c>
      <c r="E15" s="5">
        <f>COUNTIFS(风险登记册!$U$4:$U$203,"极高",风险登记册!$C$4:$C$203,$A15,风险登记册!$F$4:$F$203,IF($B$2="全部","&lt;&gt;",$B$2))</f>
        <v/>
      </c>
      <c r="F15" s="5">
        <f>COUNTIFS(风险登记册!$U$4:$U$203,"高",风险登记册!$C$4:$C$203,$A15,风险登记册!$F$4:$F$203,IF($B$2="全部","&lt;&gt;",$B$2))</f>
        <v/>
      </c>
      <c r="G15" s="21">
        <f>IFERROR(AVERAGEIFS(风险登记册!$Y$4:$Y$203,风险登记册!$C$4:$C$203,$A15,风险登记册!$F$4:$F$203,IF($B$2="全部","&lt;&gt;",$B$2)),"—")</f>
        <v/>
      </c>
    </row>
    <row r="16">
      <c r="A16" s="19" t="inlineStr">
        <is>
          <t>合规与法律</t>
        </is>
      </c>
      <c r="B16" s="5">
        <f>COUNTIFS(风险登记册!$C$4:$C$203,$A16,风险登记册!$F$4:$F$203,IF($B$2="全部","&lt;&gt;",$B$2))</f>
        <v/>
      </c>
      <c r="C16" s="33">
        <f>IFERROR(ROUND(AVERAGEIFS(风险登记册!$T$4:$T$203,风险登记册!$C$4:$C$203,$A16,风险登记册!$F$4:$F$203,IF($B$2="全部","&lt;&gt;",$B$2)),2),"—")</f>
        <v/>
      </c>
      <c r="D16" s="5">
        <f>IFERROR(MAXIFS(风险登记册!$T$4:$T$203,风险登记册!$C$4:$C$203,$A16,风险登记册!$F$4:$F$203,IF($B$2="全部","&lt;&gt;",$B$2)),"—")</f>
        <v/>
      </c>
      <c r="E16" s="5">
        <f>COUNTIFS(风险登记册!$U$4:$U$203,"极高",风险登记册!$C$4:$C$203,$A16,风险登记册!$F$4:$F$203,IF($B$2="全部","&lt;&gt;",$B$2))</f>
        <v/>
      </c>
      <c r="F16" s="5">
        <f>COUNTIFS(风险登记册!$U$4:$U$203,"高",风险登记册!$C$4:$C$203,$A16,风险登记册!$F$4:$F$203,IF($B$2="全部","&lt;&gt;",$B$2))</f>
        <v/>
      </c>
      <c r="G16" s="21">
        <f>IFERROR(AVERAGEIFS(风险登记册!$Y$4:$Y$203,风险登记册!$C$4:$C$203,$A16,风险登记册!$F$4:$F$203,IF($B$2="全部","&lt;&gt;",$B$2)),"—")</f>
        <v/>
      </c>
    </row>
    <row r="17">
      <c r="A17" s="19" t="inlineStr">
        <is>
          <t>安全环保</t>
        </is>
      </c>
      <c r="B17" s="5">
        <f>COUNTIFS(风险登记册!$C$4:$C$203,$A17,风险登记册!$F$4:$F$203,IF($B$2="全部","&lt;&gt;",$B$2))</f>
        <v/>
      </c>
      <c r="C17" s="33">
        <f>IFERROR(ROUND(AVERAGEIFS(风险登记册!$T$4:$T$203,风险登记册!$C$4:$C$203,$A17,风险登记册!$F$4:$F$203,IF($B$2="全部","&lt;&gt;",$B$2)),2),"—")</f>
        <v/>
      </c>
      <c r="D17" s="5">
        <f>IFERROR(MAXIFS(风险登记册!$T$4:$T$203,风险登记册!$C$4:$C$203,$A17,风险登记册!$F$4:$F$203,IF($B$2="全部","&lt;&gt;",$B$2)),"—")</f>
        <v/>
      </c>
      <c r="E17" s="5">
        <f>COUNTIFS(风险登记册!$U$4:$U$203,"极高",风险登记册!$C$4:$C$203,$A17,风险登记册!$F$4:$F$203,IF($B$2="全部","&lt;&gt;",$B$2))</f>
        <v/>
      </c>
      <c r="F17" s="5">
        <f>COUNTIFS(风险登记册!$U$4:$U$203,"高",风险登记册!$C$4:$C$203,$A17,风险登记册!$F$4:$F$203,IF($B$2="全部","&lt;&gt;",$B$2))</f>
        <v/>
      </c>
      <c r="G17" s="21">
        <f>IFERROR(AVERAGEIFS(风险登记册!$Y$4:$Y$203,风险登记册!$C$4:$C$203,$A17,风险登记册!$F$4:$F$203,IF($B$2="全部","&lt;&gt;",$B$2)),"—")</f>
        <v/>
      </c>
    </row>
    <row r="19">
      <c r="A19" s="3" t="inlineStr">
        <is>
          <t>二、年度审计优先级清单（按剩余风险降序排名；可用筛选按排名/领域过滤）</t>
        </is>
      </c>
    </row>
    <row r="20" ht="24" customHeight="1">
      <c r="A20" s="4" t="inlineStr">
        <is>
          <t>排名</t>
        </is>
      </c>
      <c r="B20" s="4" t="inlineStr">
        <is>
          <t>风险编号</t>
        </is>
      </c>
      <c r="C20" s="4" t="inlineStr">
        <is>
          <t>风险名称</t>
        </is>
      </c>
      <c r="D20" s="4" t="inlineStr">
        <is>
          <t>所属领域</t>
        </is>
      </c>
      <c r="E20" s="4" t="inlineStr">
        <is>
          <t>责任部门</t>
        </is>
      </c>
      <c r="F20" s="4" t="inlineStr">
        <is>
          <t>可能性</t>
        </is>
      </c>
      <c r="G20" s="4" t="inlineStr">
        <is>
          <t>固有风险</t>
        </is>
      </c>
      <c r="H20" s="4" t="inlineStr">
        <is>
          <t>关键控制分</t>
        </is>
      </c>
      <c r="I20" s="4" t="inlineStr">
        <is>
          <t>剩余风险</t>
        </is>
      </c>
      <c r="J20" s="4" t="inlineStr">
        <is>
          <t>剩余等级</t>
        </is>
      </c>
      <c r="K20" s="4" t="inlineStr">
        <is>
          <t>建议频次</t>
        </is>
      </c>
    </row>
    <row r="21">
      <c r="A21" s="5">
        <f>IF($B21="","",COUNTIFS(风险登记册!$F$4:$F$203,IF($B$2="全部","&lt;&gt;",$B$2),风险登记册!$T$4:$T$203,"&gt;"&amp;$I21)+COUNTIFS(风险登记册!$F$4:$F$203,IF($B$2="全部","&lt;&gt;",$B$2),风险登记册!$T$4:$T$203,$I21,风险登记册!$A$4:$A$203,"&lt;"&amp;$B21)+1)</f>
        <v/>
      </c>
      <c r="B21" s="5">
        <f>IF($B21="","",风险登记册!A4)</f>
        <v/>
      </c>
      <c r="C21" s="6">
        <f>IF($B21="","",风险登记册!B4)</f>
        <v/>
      </c>
      <c r="D21" s="6">
        <f>IF($B21="","",风险登记册!C4)</f>
        <v/>
      </c>
      <c r="E21" s="6">
        <f>IF($B21="","",风险登记册!E4)</f>
        <v/>
      </c>
      <c r="F21" s="5">
        <f>IF($B21="","",风险登记册!G4)</f>
        <v/>
      </c>
      <c r="G21" s="33">
        <f>IF($B21="","",风险登记册!Q4)</f>
        <v/>
      </c>
      <c r="H21" s="5">
        <f>IF($B21="","",风险登记册!R4)</f>
        <v/>
      </c>
      <c r="I21" s="33">
        <f>IF($B21="","",风险登记册!T4)</f>
        <v/>
      </c>
      <c r="J21" s="5">
        <f>IF($B21="","",风险登记册!U4)</f>
        <v/>
      </c>
      <c r="K21" s="5">
        <f>IF($B21="","",IF($J21="极高","每年必审",IF($J21="高","每年审计",IF($J21="中","两年一轮","按需抽查"))))</f>
        <v/>
      </c>
    </row>
    <row r="22">
      <c r="A22" s="5">
        <f>IF($B22="","",COUNTIFS(风险登记册!$F$4:$F$203,IF($B$2="全部","&lt;&gt;",$B$2),风险登记册!$T$4:$T$203,"&gt;"&amp;$I22)+COUNTIFS(风险登记册!$F$4:$F$203,IF($B$2="全部","&lt;&gt;",$B$2),风险登记册!$T$4:$T$203,$I22,风险登记册!$A$4:$A$203,"&lt;"&amp;$B22)+1)</f>
        <v/>
      </c>
      <c r="B22" s="5">
        <f>IF($B22="","",风险登记册!A5)</f>
        <v/>
      </c>
      <c r="C22" s="6">
        <f>IF($B22="","",风险登记册!B5)</f>
        <v/>
      </c>
      <c r="D22" s="6">
        <f>IF($B22="","",风险登记册!C5)</f>
        <v/>
      </c>
      <c r="E22" s="6">
        <f>IF($B22="","",风险登记册!E5)</f>
        <v/>
      </c>
      <c r="F22" s="5">
        <f>IF($B22="","",风险登记册!G5)</f>
        <v/>
      </c>
      <c r="G22" s="33">
        <f>IF($B22="","",风险登记册!Q5)</f>
        <v/>
      </c>
      <c r="H22" s="5">
        <f>IF($B22="","",风险登记册!R5)</f>
        <v/>
      </c>
      <c r="I22" s="33">
        <f>IF($B22="","",风险登记册!T5)</f>
        <v/>
      </c>
      <c r="J22" s="5">
        <f>IF($B22="","",风险登记册!U5)</f>
        <v/>
      </c>
      <c r="K22" s="5">
        <f>IF($B22="","",IF($J22="极高","每年必审",IF($J22="高","每年审计",IF($J22="中","两年一轮","按需抽查"))))</f>
        <v/>
      </c>
    </row>
    <row r="23">
      <c r="A23" s="5">
        <f>IF($B23="","",COUNTIFS(风险登记册!$F$4:$F$203,IF($B$2="全部","&lt;&gt;",$B$2),风险登记册!$T$4:$T$203,"&gt;"&amp;$I23)+COUNTIFS(风险登记册!$F$4:$F$203,IF($B$2="全部","&lt;&gt;",$B$2),风险登记册!$T$4:$T$203,$I23,风险登记册!$A$4:$A$203,"&lt;"&amp;$B23)+1)</f>
        <v/>
      </c>
      <c r="B23" s="5">
        <f>IF($B23="","",风险登记册!A6)</f>
        <v/>
      </c>
      <c r="C23" s="6">
        <f>IF($B23="","",风险登记册!B6)</f>
        <v/>
      </c>
      <c r="D23" s="6">
        <f>IF($B23="","",风险登记册!C6)</f>
        <v/>
      </c>
      <c r="E23" s="6">
        <f>IF($B23="","",风险登记册!E6)</f>
        <v/>
      </c>
      <c r="F23" s="5">
        <f>IF($B23="","",风险登记册!G6)</f>
        <v/>
      </c>
      <c r="G23" s="33">
        <f>IF($B23="","",风险登记册!Q6)</f>
        <v/>
      </c>
      <c r="H23" s="5">
        <f>IF($B23="","",风险登记册!R6)</f>
        <v/>
      </c>
      <c r="I23" s="33">
        <f>IF($B23="","",风险登记册!T6)</f>
        <v/>
      </c>
      <c r="J23" s="5">
        <f>IF($B23="","",风险登记册!U6)</f>
        <v/>
      </c>
      <c r="K23" s="5">
        <f>IF($B23="","",IF($J23="极高","每年必审",IF($J23="高","每年审计",IF($J23="中","两年一轮","按需抽查"))))</f>
        <v/>
      </c>
    </row>
    <row r="24">
      <c r="A24" s="5">
        <f>IF($B24="","",COUNTIFS(风险登记册!$F$4:$F$203,IF($B$2="全部","&lt;&gt;",$B$2),风险登记册!$T$4:$T$203,"&gt;"&amp;$I24)+COUNTIFS(风险登记册!$F$4:$F$203,IF($B$2="全部","&lt;&gt;",$B$2),风险登记册!$T$4:$T$203,$I24,风险登记册!$A$4:$A$203,"&lt;"&amp;$B24)+1)</f>
        <v/>
      </c>
      <c r="B24" s="5">
        <f>IF($B24="","",风险登记册!A7)</f>
        <v/>
      </c>
      <c r="C24" s="6">
        <f>IF($B24="","",风险登记册!B7)</f>
        <v/>
      </c>
      <c r="D24" s="6">
        <f>IF($B24="","",风险登记册!C7)</f>
        <v/>
      </c>
      <c r="E24" s="6">
        <f>IF($B24="","",风险登记册!E7)</f>
        <v/>
      </c>
      <c r="F24" s="5">
        <f>IF($B24="","",风险登记册!G7)</f>
        <v/>
      </c>
      <c r="G24" s="33">
        <f>IF($B24="","",风险登记册!Q7)</f>
        <v/>
      </c>
      <c r="H24" s="5">
        <f>IF($B24="","",风险登记册!R7)</f>
        <v/>
      </c>
      <c r="I24" s="33">
        <f>IF($B24="","",风险登记册!T7)</f>
        <v/>
      </c>
      <c r="J24" s="5">
        <f>IF($B24="","",风险登记册!U7)</f>
        <v/>
      </c>
      <c r="K24" s="5">
        <f>IF($B24="","",IF($J24="极高","每年必审",IF($J24="高","每年审计",IF($J24="中","两年一轮","按需抽查"))))</f>
        <v/>
      </c>
    </row>
    <row r="25">
      <c r="A25" s="5">
        <f>IF($B25="","",COUNTIFS(风险登记册!$F$4:$F$203,IF($B$2="全部","&lt;&gt;",$B$2),风险登记册!$T$4:$T$203,"&gt;"&amp;$I25)+COUNTIFS(风险登记册!$F$4:$F$203,IF($B$2="全部","&lt;&gt;",$B$2),风险登记册!$T$4:$T$203,$I25,风险登记册!$A$4:$A$203,"&lt;"&amp;$B25)+1)</f>
        <v/>
      </c>
      <c r="B25" s="5">
        <f>IF($B25="","",风险登记册!A8)</f>
        <v/>
      </c>
      <c r="C25" s="6">
        <f>IF($B25="","",风险登记册!B8)</f>
        <v/>
      </c>
      <c r="D25" s="6">
        <f>IF($B25="","",风险登记册!C8)</f>
        <v/>
      </c>
      <c r="E25" s="6">
        <f>IF($B25="","",风险登记册!E8)</f>
        <v/>
      </c>
      <c r="F25" s="5">
        <f>IF($B25="","",风险登记册!G8)</f>
        <v/>
      </c>
      <c r="G25" s="33">
        <f>IF($B25="","",风险登记册!Q8)</f>
        <v/>
      </c>
      <c r="H25" s="5">
        <f>IF($B25="","",风险登记册!R8)</f>
        <v/>
      </c>
      <c r="I25" s="33">
        <f>IF($B25="","",风险登记册!T8)</f>
        <v/>
      </c>
      <c r="J25" s="5">
        <f>IF($B25="","",风险登记册!U8)</f>
        <v/>
      </c>
      <c r="K25" s="5">
        <f>IF($B25="","",IF($J25="极高","每年必审",IF($J25="高","每年审计",IF($J25="中","两年一轮","按需抽查"))))</f>
        <v/>
      </c>
    </row>
    <row r="26">
      <c r="A26" s="5">
        <f>IF($B26="","",COUNTIFS(风险登记册!$F$4:$F$203,IF($B$2="全部","&lt;&gt;",$B$2),风险登记册!$T$4:$T$203,"&gt;"&amp;$I26)+COUNTIFS(风险登记册!$F$4:$F$203,IF($B$2="全部","&lt;&gt;",$B$2),风险登记册!$T$4:$T$203,$I26,风险登记册!$A$4:$A$203,"&lt;"&amp;$B26)+1)</f>
        <v/>
      </c>
      <c r="B26" s="5">
        <f>IF($B26="","",风险登记册!A9)</f>
        <v/>
      </c>
      <c r="C26" s="6">
        <f>IF($B26="","",风险登记册!B9)</f>
        <v/>
      </c>
      <c r="D26" s="6">
        <f>IF($B26="","",风险登记册!C9)</f>
        <v/>
      </c>
      <c r="E26" s="6">
        <f>IF($B26="","",风险登记册!E9)</f>
        <v/>
      </c>
      <c r="F26" s="5">
        <f>IF($B26="","",风险登记册!G9)</f>
        <v/>
      </c>
      <c r="G26" s="33">
        <f>IF($B26="","",风险登记册!Q9)</f>
        <v/>
      </c>
      <c r="H26" s="5">
        <f>IF($B26="","",风险登记册!R9)</f>
        <v/>
      </c>
      <c r="I26" s="33">
        <f>IF($B26="","",风险登记册!T9)</f>
        <v/>
      </c>
      <c r="J26" s="5">
        <f>IF($B26="","",风险登记册!U9)</f>
        <v/>
      </c>
      <c r="K26" s="5">
        <f>IF($B26="","",IF($J26="极高","每年必审",IF($J26="高","每年审计",IF($J26="中","两年一轮","按需抽查"))))</f>
        <v/>
      </c>
    </row>
    <row r="27">
      <c r="A27" s="5">
        <f>IF($B27="","",COUNTIFS(风险登记册!$F$4:$F$203,IF($B$2="全部","&lt;&gt;",$B$2),风险登记册!$T$4:$T$203,"&gt;"&amp;$I27)+COUNTIFS(风险登记册!$F$4:$F$203,IF($B$2="全部","&lt;&gt;",$B$2),风险登记册!$T$4:$T$203,$I27,风险登记册!$A$4:$A$203,"&lt;"&amp;$B27)+1)</f>
        <v/>
      </c>
      <c r="B27" s="5">
        <f>IF($B27="","",风险登记册!A10)</f>
        <v/>
      </c>
      <c r="C27" s="6">
        <f>IF($B27="","",风险登记册!B10)</f>
        <v/>
      </c>
      <c r="D27" s="6">
        <f>IF($B27="","",风险登记册!C10)</f>
        <v/>
      </c>
      <c r="E27" s="6">
        <f>IF($B27="","",风险登记册!E10)</f>
        <v/>
      </c>
      <c r="F27" s="5">
        <f>IF($B27="","",风险登记册!G10)</f>
        <v/>
      </c>
      <c r="G27" s="33">
        <f>IF($B27="","",风险登记册!Q10)</f>
        <v/>
      </c>
      <c r="H27" s="5">
        <f>IF($B27="","",风险登记册!R10)</f>
        <v/>
      </c>
      <c r="I27" s="33">
        <f>IF($B27="","",风险登记册!T10)</f>
        <v/>
      </c>
      <c r="J27" s="5">
        <f>IF($B27="","",风险登记册!U10)</f>
        <v/>
      </c>
      <c r="K27" s="5">
        <f>IF($B27="","",IF($J27="极高","每年必审",IF($J27="高","每年审计",IF($J27="中","两年一轮","按需抽查"))))</f>
        <v/>
      </c>
    </row>
    <row r="28">
      <c r="A28" s="5">
        <f>IF($B28="","",COUNTIFS(风险登记册!$F$4:$F$203,IF($B$2="全部","&lt;&gt;",$B$2),风险登记册!$T$4:$T$203,"&gt;"&amp;$I28)+COUNTIFS(风险登记册!$F$4:$F$203,IF($B$2="全部","&lt;&gt;",$B$2),风险登记册!$T$4:$T$203,$I28,风险登记册!$A$4:$A$203,"&lt;"&amp;$B28)+1)</f>
        <v/>
      </c>
      <c r="B28" s="5">
        <f>IF($B28="","",风险登记册!A11)</f>
        <v/>
      </c>
      <c r="C28" s="6">
        <f>IF($B28="","",风险登记册!B11)</f>
        <v/>
      </c>
      <c r="D28" s="6">
        <f>IF($B28="","",风险登记册!C11)</f>
        <v/>
      </c>
      <c r="E28" s="6">
        <f>IF($B28="","",风险登记册!E11)</f>
        <v/>
      </c>
      <c r="F28" s="5">
        <f>IF($B28="","",风险登记册!G11)</f>
        <v/>
      </c>
      <c r="G28" s="33">
        <f>IF($B28="","",风险登记册!Q11)</f>
        <v/>
      </c>
      <c r="H28" s="5">
        <f>IF($B28="","",风险登记册!R11)</f>
        <v/>
      </c>
      <c r="I28" s="33">
        <f>IF($B28="","",风险登记册!T11)</f>
        <v/>
      </c>
      <c r="J28" s="5">
        <f>IF($B28="","",风险登记册!U11)</f>
        <v/>
      </c>
      <c r="K28" s="5">
        <f>IF($B28="","",IF($J28="极高","每年必审",IF($J28="高","每年审计",IF($J28="中","两年一轮","按需抽查"))))</f>
        <v/>
      </c>
    </row>
    <row r="29">
      <c r="A29" s="5">
        <f>IF($B29="","",COUNTIFS(风险登记册!$F$4:$F$203,IF($B$2="全部","&lt;&gt;",$B$2),风险登记册!$T$4:$T$203,"&gt;"&amp;$I29)+COUNTIFS(风险登记册!$F$4:$F$203,IF($B$2="全部","&lt;&gt;",$B$2),风险登记册!$T$4:$T$203,$I29,风险登记册!$A$4:$A$203,"&lt;"&amp;$B29)+1)</f>
        <v/>
      </c>
      <c r="B29" s="5">
        <f>IF($B29="","",风险登记册!A12)</f>
        <v/>
      </c>
      <c r="C29" s="6">
        <f>IF($B29="","",风险登记册!B12)</f>
        <v/>
      </c>
      <c r="D29" s="6">
        <f>IF($B29="","",风险登记册!C12)</f>
        <v/>
      </c>
      <c r="E29" s="6">
        <f>IF($B29="","",风险登记册!E12)</f>
        <v/>
      </c>
      <c r="F29" s="5">
        <f>IF($B29="","",风险登记册!G12)</f>
        <v/>
      </c>
      <c r="G29" s="33">
        <f>IF($B29="","",风险登记册!Q12)</f>
        <v/>
      </c>
      <c r="H29" s="5">
        <f>IF($B29="","",风险登记册!R12)</f>
        <v/>
      </c>
      <c r="I29" s="33">
        <f>IF($B29="","",风险登记册!T12)</f>
        <v/>
      </c>
      <c r="J29" s="5">
        <f>IF($B29="","",风险登记册!U12)</f>
        <v/>
      </c>
      <c r="K29" s="5">
        <f>IF($B29="","",IF($J29="极高","每年必审",IF($J29="高","每年审计",IF($J29="中","两年一轮","按需抽查"))))</f>
        <v/>
      </c>
    </row>
    <row r="30">
      <c r="A30" s="5">
        <f>IF($B30="","",COUNTIFS(风险登记册!$F$4:$F$203,IF($B$2="全部","&lt;&gt;",$B$2),风险登记册!$T$4:$T$203,"&gt;"&amp;$I30)+COUNTIFS(风险登记册!$F$4:$F$203,IF($B$2="全部","&lt;&gt;",$B$2),风险登记册!$T$4:$T$203,$I30,风险登记册!$A$4:$A$203,"&lt;"&amp;$B30)+1)</f>
        <v/>
      </c>
      <c r="B30" s="5">
        <f>IF($B30="","",风险登记册!A13)</f>
        <v/>
      </c>
      <c r="C30" s="6">
        <f>IF($B30="","",风险登记册!B13)</f>
        <v/>
      </c>
      <c r="D30" s="6">
        <f>IF($B30="","",风险登记册!C13)</f>
        <v/>
      </c>
      <c r="E30" s="6">
        <f>IF($B30="","",风险登记册!E13)</f>
        <v/>
      </c>
      <c r="F30" s="5">
        <f>IF($B30="","",风险登记册!G13)</f>
        <v/>
      </c>
      <c r="G30" s="33">
        <f>IF($B30="","",风险登记册!Q13)</f>
        <v/>
      </c>
      <c r="H30" s="5">
        <f>IF($B30="","",风险登记册!R13)</f>
        <v/>
      </c>
      <c r="I30" s="33">
        <f>IF($B30="","",风险登记册!T13)</f>
        <v/>
      </c>
      <c r="J30" s="5">
        <f>IF($B30="","",风险登记册!U13)</f>
        <v/>
      </c>
      <c r="K30" s="5">
        <f>IF($B30="","",IF($J30="极高","每年必审",IF($J30="高","每年审计",IF($J30="中","两年一轮","按需抽查"))))</f>
        <v/>
      </c>
    </row>
    <row r="31">
      <c r="A31" s="5">
        <f>IF($B31="","",COUNTIFS(风险登记册!$F$4:$F$203,IF($B$2="全部","&lt;&gt;",$B$2),风险登记册!$T$4:$T$203,"&gt;"&amp;$I31)+COUNTIFS(风险登记册!$F$4:$F$203,IF($B$2="全部","&lt;&gt;",$B$2),风险登记册!$T$4:$T$203,$I31,风险登记册!$A$4:$A$203,"&lt;"&amp;$B31)+1)</f>
        <v/>
      </c>
      <c r="B31" s="5">
        <f>IF($B31="","",风险登记册!A14)</f>
        <v/>
      </c>
      <c r="C31" s="6">
        <f>IF($B31="","",风险登记册!B14)</f>
        <v/>
      </c>
      <c r="D31" s="6">
        <f>IF($B31="","",风险登记册!C14)</f>
        <v/>
      </c>
      <c r="E31" s="6">
        <f>IF($B31="","",风险登记册!E14)</f>
        <v/>
      </c>
      <c r="F31" s="5">
        <f>IF($B31="","",风险登记册!G14)</f>
        <v/>
      </c>
      <c r="G31" s="33">
        <f>IF($B31="","",风险登记册!Q14)</f>
        <v/>
      </c>
      <c r="H31" s="5">
        <f>IF($B31="","",风险登记册!R14)</f>
        <v/>
      </c>
      <c r="I31" s="33">
        <f>IF($B31="","",风险登记册!T14)</f>
        <v/>
      </c>
      <c r="J31" s="5">
        <f>IF($B31="","",风险登记册!U14)</f>
        <v/>
      </c>
      <c r="K31" s="5">
        <f>IF($B31="","",IF($J31="极高","每年必审",IF($J31="高","每年审计",IF($J31="中","两年一轮","按需抽查"))))</f>
        <v/>
      </c>
    </row>
    <row r="32">
      <c r="A32" s="5">
        <f>IF($B32="","",COUNTIFS(风险登记册!$F$4:$F$203,IF($B$2="全部","&lt;&gt;",$B$2),风险登记册!$T$4:$T$203,"&gt;"&amp;$I32)+COUNTIFS(风险登记册!$F$4:$F$203,IF($B$2="全部","&lt;&gt;",$B$2),风险登记册!$T$4:$T$203,$I32,风险登记册!$A$4:$A$203,"&lt;"&amp;$B32)+1)</f>
        <v/>
      </c>
      <c r="B32" s="5">
        <f>IF($B32="","",风险登记册!A15)</f>
        <v/>
      </c>
      <c r="C32" s="6">
        <f>IF($B32="","",风险登记册!B15)</f>
        <v/>
      </c>
      <c r="D32" s="6">
        <f>IF($B32="","",风险登记册!C15)</f>
        <v/>
      </c>
      <c r="E32" s="6">
        <f>IF($B32="","",风险登记册!E15)</f>
        <v/>
      </c>
      <c r="F32" s="5">
        <f>IF($B32="","",风险登记册!G15)</f>
        <v/>
      </c>
      <c r="G32" s="33">
        <f>IF($B32="","",风险登记册!Q15)</f>
        <v/>
      </c>
      <c r="H32" s="5">
        <f>IF($B32="","",风险登记册!R15)</f>
        <v/>
      </c>
      <c r="I32" s="33">
        <f>IF($B32="","",风险登记册!T15)</f>
        <v/>
      </c>
      <c r="J32" s="5">
        <f>IF($B32="","",风险登记册!U15)</f>
        <v/>
      </c>
      <c r="K32" s="5">
        <f>IF($B32="","",IF($J32="极高","每年必审",IF($J32="高","每年审计",IF($J32="中","两年一轮","按需抽查"))))</f>
        <v/>
      </c>
    </row>
    <row r="33">
      <c r="A33" s="5">
        <f>IF($B33="","",COUNTIFS(风险登记册!$F$4:$F$203,IF($B$2="全部","&lt;&gt;",$B$2),风险登记册!$T$4:$T$203,"&gt;"&amp;$I33)+COUNTIFS(风险登记册!$F$4:$F$203,IF($B$2="全部","&lt;&gt;",$B$2),风险登记册!$T$4:$T$203,$I33,风险登记册!$A$4:$A$203,"&lt;"&amp;$B33)+1)</f>
        <v/>
      </c>
      <c r="B33" s="5">
        <f>IF($B33="","",风险登记册!A16)</f>
        <v/>
      </c>
      <c r="C33" s="6">
        <f>IF($B33="","",风险登记册!B16)</f>
        <v/>
      </c>
      <c r="D33" s="6">
        <f>IF($B33="","",风险登记册!C16)</f>
        <v/>
      </c>
      <c r="E33" s="6">
        <f>IF($B33="","",风险登记册!E16)</f>
        <v/>
      </c>
      <c r="F33" s="5">
        <f>IF($B33="","",风险登记册!G16)</f>
        <v/>
      </c>
      <c r="G33" s="33">
        <f>IF($B33="","",风险登记册!Q16)</f>
        <v/>
      </c>
      <c r="H33" s="5">
        <f>IF($B33="","",风险登记册!R16)</f>
        <v/>
      </c>
      <c r="I33" s="33">
        <f>IF($B33="","",风险登记册!T16)</f>
        <v/>
      </c>
      <c r="J33" s="5">
        <f>IF($B33="","",风险登记册!U16)</f>
        <v/>
      </c>
      <c r="K33" s="5">
        <f>IF($B33="","",IF($J33="极高","每年必审",IF($J33="高","每年审计",IF($J33="中","两年一轮","按需抽查"))))</f>
        <v/>
      </c>
    </row>
    <row r="34">
      <c r="A34" s="5">
        <f>IF($B34="","",COUNTIFS(风险登记册!$F$4:$F$203,IF($B$2="全部","&lt;&gt;",$B$2),风险登记册!$T$4:$T$203,"&gt;"&amp;$I34)+COUNTIFS(风险登记册!$F$4:$F$203,IF($B$2="全部","&lt;&gt;",$B$2),风险登记册!$T$4:$T$203,$I34,风险登记册!$A$4:$A$203,"&lt;"&amp;$B34)+1)</f>
        <v/>
      </c>
      <c r="B34" s="5">
        <f>IF($B34="","",风险登记册!A17)</f>
        <v/>
      </c>
      <c r="C34" s="6">
        <f>IF($B34="","",风险登记册!B17)</f>
        <v/>
      </c>
      <c r="D34" s="6">
        <f>IF($B34="","",风险登记册!C17)</f>
        <v/>
      </c>
      <c r="E34" s="6">
        <f>IF($B34="","",风险登记册!E17)</f>
        <v/>
      </c>
      <c r="F34" s="5">
        <f>IF($B34="","",风险登记册!G17)</f>
        <v/>
      </c>
      <c r="G34" s="33">
        <f>IF($B34="","",风险登记册!Q17)</f>
        <v/>
      </c>
      <c r="H34" s="5">
        <f>IF($B34="","",风险登记册!R17)</f>
        <v/>
      </c>
      <c r="I34" s="33">
        <f>IF($B34="","",风险登记册!T17)</f>
        <v/>
      </c>
      <c r="J34" s="5">
        <f>IF($B34="","",风险登记册!U17)</f>
        <v/>
      </c>
      <c r="K34" s="5">
        <f>IF($B34="","",IF($J34="极高","每年必审",IF($J34="高","每年审计",IF($J34="中","两年一轮","按需抽查"))))</f>
        <v/>
      </c>
    </row>
    <row r="35">
      <c r="A35" s="5">
        <f>IF($B35="","",COUNTIFS(风险登记册!$F$4:$F$203,IF($B$2="全部","&lt;&gt;",$B$2),风险登记册!$T$4:$T$203,"&gt;"&amp;$I35)+COUNTIFS(风险登记册!$F$4:$F$203,IF($B$2="全部","&lt;&gt;",$B$2),风险登记册!$T$4:$T$203,$I35,风险登记册!$A$4:$A$203,"&lt;"&amp;$B35)+1)</f>
        <v/>
      </c>
      <c r="B35" s="5">
        <f>IF($B35="","",风险登记册!A18)</f>
        <v/>
      </c>
      <c r="C35" s="6">
        <f>IF($B35="","",风险登记册!B18)</f>
        <v/>
      </c>
      <c r="D35" s="6">
        <f>IF($B35="","",风险登记册!C18)</f>
        <v/>
      </c>
      <c r="E35" s="6">
        <f>IF($B35="","",风险登记册!E18)</f>
        <v/>
      </c>
      <c r="F35" s="5">
        <f>IF($B35="","",风险登记册!G18)</f>
        <v/>
      </c>
      <c r="G35" s="33">
        <f>IF($B35="","",风险登记册!Q18)</f>
        <v/>
      </c>
      <c r="H35" s="5">
        <f>IF($B35="","",风险登记册!R18)</f>
        <v/>
      </c>
      <c r="I35" s="33">
        <f>IF($B35="","",风险登记册!T18)</f>
        <v/>
      </c>
      <c r="J35" s="5">
        <f>IF($B35="","",风险登记册!U18)</f>
        <v/>
      </c>
      <c r="K35" s="5">
        <f>IF($B35="","",IF($J35="极高","每年必审",IF($J35="高","每年审计",IF($J35="中","两年一轮","按需抽查"))))</f>
        <v/>
      </c>
    </row>
    <row r="36">
      <c r="A36" s="5">
        <f>IF($B36="","",COUNTIFS(风险登记册!$F$4:$F$203,IF($B$2="全部","&lt;&gt;",$B$2),风险登记册!$T$4:$T$203,"&gt;"&amp;$I36)+COUNTIFS(风险登记册!$F$4:$F$203,IF($B$2="全部","&lt;&gt;",$B$2),风险登记册!$T$4:$T$203,$I36,风险登记册!$A$4:$A$203,"&lt;"&amp;$B36)+1)</f>
        <v/>
      </c>
      <c r="B36" s="5">
        <f>IF($B36="","",风险登记册!A19)</f>
        <v/>
      </c>
      <c r="C36" s="6">
        <f>IF($B36="","",风险登记册!B19)</f>
        <v/>
      </c>
      <c r="D36" s="6">
        <f>IF($B36="","",风险登记册!C19)</f>
        <v/>
      </c>
      <c r="E36" s="6">
        <f>IF($B36="","",风险登记册!E19)</f>
        <v/>
      </c>
      <c r="F36" s="5">
        <f>IF($B36="","",风险登记册!G19)</f>
        <v/>
      </c>
      <c r="G36" s="33">
        <f>IF($B36="","",风险登记册!Q19)</f>
        <v/>
      </c>
      <c r="H36" s="5">
        <f>IF($B36="","",风险登记册!R19)</f>
        <v/>
      </c>
      <c r="I36" s="33">
        <f>IF($B36="","",风险登记册!T19)</f>
        <v/>
      </c>
      <c r="J36" s="5">
        <f>IF($B36="","",风险登记册!U19)</f>
        <v/>
      </c>
      <c r="K36" s="5">
        <f>IF($B36="","",IF($J36="极高","每年必审",IF($J36="高","每年审计",IF($J36="中","两年一轮","按需抽查"))))</f>
        <v/>
      </c>
    </row>
    <row r="37">
      <c r="A37" s="5">
        <f>IF($B37="","",COUNTIFS(风险登记册!$F$4:$F$203,IF($B$2="全部","&lt;&gt;",$B$2),风险登记册!$T$4:$T$203,"&gt;"&amp;$I37)+COUNTIFS(风险登记册!$F$4:$F$203,IF($B$2="全部","&lt;&gt;",$B$2),风险登记册!$T$4:$T$203,$I37,风险登记册!$A$4:$A$203,"&lt;"&amp;$B37)+1)</f>
        <v/>
      </c>
      <c r="B37" s="5">
        <f>IF($B37="","",风险登记册!A20)</f>
        <v/>
      </c>
      <c r="C37" s="6">
        <f>IF($B37="","",风险登记册!B20)</f>
        <v/>
      </c>
      <c r="D37" s="6">
        <f>IF($B37="","",风险登记册!C20)</f>
        <v/>
      </c>
      <c r="E37" s="6">
        <f>IF($B37="","",风险登记册!E20)</f>
        <v/>
      </c>
      <c r="F37" s="5">
        <f>IF($B37="","",风险登记册!G20)</f>
        <v/>
      </c>
      <c r="G37" s="33">
        <f>IF($B37="","",风险登记册!Q20)</f>
        <v/>
      </c>
      <c r="H37" s="5">
        <f>IF($B37="","",风险登记册!R20)</f>
        <v/>
      </c>
      <c r="I37" s="33">
        <f>IF($B37="","",风险登记册!T20)</f>
        <v/>
      </c>
      <c r="J37" s="5">
        <f>IF($B37="","",风险登记册!U20)</f>
        <v/>
      </c>
      <c r="K37" s="5">
        <f>IF($B37="","",IF($J37="极高","每年必审",IF($J37="高","每年审计",IF($J37="中","两年一轮","按需抽查"))))</f>
        <v/>
      </c>
    </row>
    <row r="38">
      <c r="A38" s="5">
        <f>IF($B38="","",COUNTIFS(风险登记册!$F$4:$F$203,IF($B$2="全部","&lt;&gt;",$B$2),风险登记册!$T$4:$T$203,"&gt;"&amp;$I38)+COUNTIFS(风险登记册!$F$4:$F$203,IF($B$2="全部","&lt;&gt;",$B$2),风险登记册!$T$4:$T$203,$I38,风险登记册!$A$4:$A$203,"&lt;"&amp;$B38)+1)</f>
        <v/>
      </c>
      <c r="B38" s="5">
        <f>IF($B38="","",风险登记册!A21)</f>
        <v/>
      </c>
      <c r="C38" s="6">
        <f>IF($B38="","",风险登记册!B21)</f>
        <v/>
      </c>
      <c r="D38" s="6">
        <f>IF($B38="","",风险登记册!C21)</f>
        <v/>
      </c>
      <c r="E38" s="6">
        <f>IF($B38="","",风险登记册!E21)</f>
        <v/>
      </c>
      <c r="F38" s="5">
        <f>IF($B38="","",风险登记册!G21)</f>
        <v/>
      </c>
      <c r="G38" s="33">
        <f>IF($B38="","",风险登记册!Q21)</f>
        <v/>
      </c>
      <c r="H38" s="5">
        <f>IF($B38="","",风险登记册!R21)</f>
        <v/>
      </c>
      <c r="I38" s="33">
        <f>IF($B38="","",风险登记册!T21)</f>
        <v/>
      </c>
      <c r="J38" s="5">
        <f>IF($B38="","",风险登记册!U21)</f>
        <v/>
      </c>
      <c r="K38" s="5">
        <f>IF($B38="","",IF($J38="极高","每年必审",IF($J38="高","每年审计",IF($J38="中","两年一轮","按需抽查"))))</f>
        <v/>
      </c>
    </row>
    <row r="39">
      <c r="A39" s="5">
        <f>IF($B39="","",COUNTIFS(风险登记册!$F$4:$F$203,IF($B$2="全部","&lt;&gt;",$B$2),风险登记册!$T$4:$T$203,"&gt;"&amp;$I39)+COUNTIFS(风险登记册!$F$4:$F$203,IF($B$2="全部","&lt;&gt;",$B$2),风险登记册!$T$4:$T$203,$I39,风险登记册!$A$4:$A$203,"&lt;"&amp;$B39)+1)</f>
        <v/>
      </c>
      <c r="B39" s="5">
        <f>IF($B39="","",风险登记册!A22)</f>
        <v/>
      </c>
      <c r="C39" s="6">
        <f>IF($B39="","",风险登记册!B22)</f>
        <v/>
      </c>
      <c r="D39" s="6">
        <f>IF($B39="","",风险登记册!C22)</f>
        <v/>
      </c>
      <c r="E39" s="6">
        <f>IF($B39="","",风险登记册!E22)</f>
        <v/>
      </c>
      <c r="F39" s="5">
        <f>IF($B39="","",风险登记册!G22)</f>
        <v/>
      </c>
      <c r="G39" s="33">
        <f>IF($B39="","",风险登记册!Q22)</f>
        <v/>
      </c>
      <c r="H39" s="5">
        <f>IF($B39="","",风险登记册!R22)</f>
        <v/>
      </c>
      <c r="I39" s="33">
        <f>IF($B39="","",风险登记册!T22)</f>
        <v/>
      </c>
      <c r="J39" s="5">
        <f>IF($B39="","",风险登记册!U22)</f>
        <v/>
      </c>
      <c r="K39" s="5">
        <f>IF($B39="","",IF($J39="极高","每年必审",IF($J39="高","每年审计",IF($J39="中","两年一轮","按需抽查"))))</f>
        <v/>
      </c>
    </row>
    <row r="40">
      <c r="A40" s="5">
        <f>IF($B40="","",COUNTIFS(风险登记册!$F$4:$F$203,IF($B$2="全部","&lt;&gt;",$B$2),风险登记册!$T$4:$T$203,"&gt;"&amp;$I40)+COUNTIFS(风险登记册!$F$4:$F$203,IF($B$2="全部","&lt;&gt;",$B$2),风险登记册!$T$4:$T$203,$I40,风险登记册!$A$4:$A$203,"&lt;"&amp;$B40)+1)</f>
        <v/>
      </c>
      <c r="B40" s="5">
        <f>IF($B40="","",风险登记册!A23)</f>
        <v/>
      </c>
      <c r="C40" s="6">
        <f>IF($B40="","",风险登记册!B23)</f>
        <v/>
      </c>
      <c r="D40" s="6">
        <f>IF($B40="","",风险登记册!C23)</f>
        <v/>
      </c>
      <c r="E40" s="6">
        <f>IF($B40="","",风险登记册!E23)</f>
        <v/>
      </c>
      <c r="F40" s="5">
        <f>IF($B40="","",风险登记册!G23)</f>
        <v/>
      </c>
      <c r="G40" s="33">
        <f>IF($B40="","",风险登记册!Q23)</f>
        <v/>
      </c>
      <c r="H40" s="5">
        <f>IF($B40="","",风险登记册!R23)</f>
        <v/>
      </c>
      <c r="I40" s="33">
        <f>IF($B40="","",风险登记册!T23)</f>
        <v/>
      </c>
      <c r="J40" s="5">
        <f>IF($B40="","",风险登记册!U23)</f>
        <v/>
      </c>
      <c r="K40" s="5">
        <f>IF($B40="","",IF($J40="极高","每年必审",IF($J40="高","每年审计",IF($J40="中","两年一轮","按需抽查"))))</f>
        <v/>
      </c>
    </row>
    <row r="41">
      <c r="A41" s="5">
        <f>IF($B41="","",COUNTIFS(风险登记册!$F$4:$F$203,IF($B$2="全部","&lt;&gt;",$B$2),风险登记册!$T$4:$T$203,"&gt;"&amp;$I41)+COUNTIFS(风险登记册!$F$4:$F$203,IF($B$2="全部","&lt;&gt;",$B$2),风险登记册!$T$4:$T$203,$I41,风险登记册!$A$4:$A$203,"&lt;"&amp;$B41)+1)</f>
        <v/>
      </c>
      <c r="B41" s="5">
        <f>IF($B41="","",风险登记册!A24)</f>
        <v/>
      </c>
      <c r="C41" s="6">
        <f>IF($B41="","",风险登记册!B24)</f>
        <v/>
      </c>
      <c r="D41" s="6">
        <f>IF($B41="","",风险登记册!C24)</f>
        <v/>
      </c>
      <c r="E41" s="6">
        <f>IF($B41="","",风险登记册!E24)</f>
        <v/>
      </c>
      <c r="F41" s="5">
        <f>IF($B41="","",风险登记册!G24)</f>
        <v/>
      </c>
      <c r="G41" s="33">
        <f>IF($B41="","",风险登记册!Q24)</f>
        <v/>
      </c>
      <c r="H41" s="5">
        <f>IF($B41="","",风险登记册!R24)</f>
        <v/>
      </c>
      <c r="I41" s="33">
        <f>IF($B41="","",风险登记册!T24)</f>
        <v/>
      </c>
      <c r="J41" s="5">
        <f>IF($B41="","",风险登记册!U24)</f>
        <v/>
      </c>
      <c r="K41" s="5">
        <f>IF($B41="","",IF($J41="极高","每年必审",IF($J41="高","每年审计",IF($J41="中","两年一轮","按需抽查"))))</f>
        <v/>
      </c>
    </row>
    <row r="42">
      <c r="A42" s="5">
        <f>IF($B42="","",COUNTIFS(风险登记册!$F$4:$F$203,IF($B$2="全部","&lt;&gt;",$B$2),风险登记册!$T$4:$T$203,"&gt;"&amp;$I42)+COUNTIFS(风险登记册!$F$4:$F$203,IF($B$2="全部","&lt;&gt;",$B$2),风险登记册!$T$4:$T$203,$I42,风险登记册!$A$4:$A$203,"&lt;"&amp;$B42)+1)</f>
        <v/>
      </c>
      <c r="B42" s="5">
        <f>IF($B42="","",风险登记册!A25)</f>
        <v/>
      </c>
      <c r="C42" s="6">
        <f>IF($B42="","",风险登记册!B25)</f>
        <v/>
      </c>
      <c r="D42" s="6">
        <f>IF($B42="","",风险登记册!C25)</f>
        <v/>
      </c>
      <c r="E42" s="6">
        <f>IF($B42="","",风险登记册!E25)</f>
        <v/>
      </c>
      <c r="F42" s="5">
        <f>IF($B42="","",风险登记册!G25)</f>
        <v/>
      </c>
      <c r="G42" s="33">
        <f>IF($B42="","",风险登记册!Q25)</f>
        <v/>
      </c>
      <c r="H42" s="5">
        <f>IF($B42="","",风险登记册!R25)</f>
        <v/>
      </c>
      <c r="I42" s="33">
        <f>IF($B42="","",风险登记册!T25)</f>
        <v/>
      </c>
      <c r="J42" s="5">
        <f>IF($B42="","",风险登记册!U25)</f>
        <v/>
      </c>
      <c r="K42" s="5">
        <f>IF($B42="","",IF($J42="极高","每年必审",IF($J42="高","每年审计",IF($J42="中","两年一轮","按需抽查"))))</f>
        <v/>
      </c>
    </row>
    <row r="43">
      <c r="A43" s="5">
        <f>IF($B43="","",COUNTIFS(风险登记册!$F$4:$F$203,IF($B$2="全部","&lt;&gt;",$B$2),风险登记册!$T$4:$T$203,"&gt;"&amp;$I43)+COUNTIFS(风险登记册!$F$4:$F$203,IF($B$2="全部","&lt;&gt;",$B$2),风险登记册!$T$4:$T$203,$I43,风险登记册!$A$4:$A$203,"&lt;"&amp;$B43)+1)</f>
        <v/>
      </c>
      <c r="B43" s="5">
        <f>IF($B43="","",风险登记册!A26)</f>
        <v/>
      </c>
      <c r="C43" s="6">
        <f>IF($B43="","",风险登记册!B26)</f>
        <v/>
      </c>
      <c r="D43" s="6">
        <f>IF($B43="","",风险登记册!C26)</f>
        <v/>
      </c>
      <c r="E43" s="6">
        <f>IF($B43="","",风险登记册!E26)</f>
        <v/>
      </c>
      <c r="F43" s="5">
        <f>IF($B43="","",风险登记册!G26)</f>
        <v/>
      </c>
      <c r="G43" s="33">
        <f>IF($B43="","",风险登记册!Q26)</f>
        <v/>
      </c>
      <c r="H43" s="5">
        <f>IF($B43="","",风险登记册!R26)</f>
        <v/>
      </c>
      <c r="I43" s="33">
        <f>IF($B43="","",风险登记册!T26)</f>
        <v/>
      </c>
      <c r="J43" s="5">
        <f>IF($B43="","",风险登记册!U26)</f>
        <v/>
      </c>
      <c r="K43" s="5">
        <f>IF($B43="","",IF($J43="极高","每年必审",IF($J43="高","每年审计",IF($J43="中","两年一轮","按需抽查"))))</f>
        <v/>
      </c>
    </row>
    <row r="44">
      <c r="A44" s="5">
        <f>IF($B44="","",COUNTIFS(风险登记册!$F$4:$F$203,IF($B$2="全部","&lt;&gt;",$B$2),风险登记册!$T$4:$T$203,"&gt;"&amp;$I44)+COUNTIFS(风险登记册!$F$4:$F$203,IF($B$2="全部","&lt;&gt;",$B$2),风险登记册!$T$4:$T$203,$I44,风险登记册!$A$4:$A$203,"&lt;"&amp;$B44)+1)</f>
        <v/>
      </c>
      <c r="B44" s="5">
        <f>IF($B44="","",风险登记册!A27)</f>
        <v/>
      </c>
      <c r="C44" s="6">
        <f>IF($B44="","",风险登记册!B27)</f>
        <v/>
      </c>
      <c r="D44" s="6">
        <f>IF($B44="","",风险登记册!C27)</f>
        <v/>
      </c>
      <c r="E44" s="6">
        <f>IF($B44="","",风险登记册!E27)</f>
        <v/>
      </c>
      <c r="F44" s="5">
        <f>IF($B44="","",风险登记册!G27)</f>
        <v/>
      </c>
      <c r="G44" s="33">
        <f>IF($B44="","",风险登记册!Q27)</f>
        <v/>
      </c>
      <c r="H44" s="5">
        <f>IF($B44="","",风险登记册!R27)</f>
        <v/>
      </c>
      <c r="I44" s="33">
        <f>IF($B44="","",风险登记册!T27)</f>
        <v/>
      </c>
      <c r="J44" s="5">
        <f>IF($B44="","",风险登记册!U27)</f>
        <v/>
      </c>
      <c r="K44" s="5">
        <f>IF($B44="","",IF($J44="极高","每年必审",IF($J44="高","每年审计",IF($J44="中","两年一轮","按需抽查"))))</f>
        <v/>
      </c>
    </row>
    <row r="45">
      <c r="A45" s="5">
        <f>IF($B45="","",COUNTIFS(风险登记册!$F$4:$F$203,IF($B$2="全部","&lt;&gt;",$B$2),风险登记册!$T$4:$T$203,"&gt;"&amp;$I45)+COUNTIFS(风险登记册!$F$4:$F$203,IF($B$2="全部","&lt;&gt;",$B$2),风险登记册!$T$4:$T$203,$I45,风险登记册!$A$4:$A$203,"&lt;"&amp;$B45)+1)</f>
        <v/>
      </c>
      <c r="B45" s="5">
        <f>IF($B45="","",风险登记册!A28)</f>
        <v/>
      </c>
      <c r="C45" s="6">
        <f>IF($B45="","",风险登记册!B28)</f>
        <v/>
      </c>
      <c r="D45" s="6">
        <f>IF($B45="","",风险登记册!C28)</f>
        <v/>
      </c>
      <c r="E45" s="6">
        <f>IF($B45="","",风险登记册!E28)</f>
        <v/>
      </c>
      <c r="F45" s="5">
        <f>IF($B45="","",风险登记册!G28)</f>
        <v/>
      </c>
      <c r="G45" s="33">
        <f>IF($B45="","",风险登记册!Q28)</f>
        <v/>
      </c>
      <c r="H45" s="5">
        <f>IF($B45="","",风险登记册!R28)</f>
        <v/>
      </c>
      <c r="I45" s="33">
        <f>IF($B45="","",风险登记册!T28)</f>
        <v/>
      </c>
      <c r="J45" s="5">
        <f>IF($B45="","",风险登记册!U28)</f>
        <v/>
      </c>
      <c r="K45" s="5">
        <f>IF($B45="","",IF($J45="极高","每年必审",IF($J45="高","每年审计",IF($J45="中","两年一轮","按需抽查"))))</f>
        <v/>
      </c>
    </row>
    <row r="46">
      <c r="A46" s="5">
        <f>IF($B46="","",COUNTIFS(风险登记册!$F$4:$F$203,IF($B$2="全部","&lt;&gt;",$B$2),风险登记册!$T$4:$T$203,"&gt;"&amp;$I46)+COUNTIFS(风险登记册!$F$4:$F$203,IF($B$2="全部","&lt;&gt;",$B$2),风险登记册!$T$4:$T$203,$I46,风险登记册!$A$4:$A$203,"&lt;"&amp;$B46)+1)</f>
        <v/>
      </c>
      <c r="B46" s="5">
        <f>IF($B46="","",风险登记册!A29)</f>
        <v/>
      </c>
      <c r="C46" s="6">
        <f>IF($B46="","",风险登记册!B29)</f>
        <v/>
      </c>
      <c r="D46" s="6">
        <f>IF($B46="","",风险登记册!C29)</f>
        <v/>
      </c>
      <c r="E46" s="6">
        <f>IF($B46="","",风险登记册!E29)</f>
        <v/>
      </c>
      <c r="F46" s="5">
        <f>IF($B46="","",风险登记册!G29)</f>
        <v/>
      </c>
      <c r="G46" s="33">
        <f>IF($B46="","",风险登记册!Q29)</f>
        <v/>
      </c>
      <c r="H46" s="5">
        <f>IF($B46="","",风险登记册!R29)</f>
        <v/>
      </c>
      <c r="I46" s="33">
        <f>IF($B46="","",风险登记册!T29)</f>
        <v/>
      </c>
      <c r="J46" s="5">
        <f>IF($B46="","",风险登记册!U29)</f>
        <v/>
      </c>
      <c r="K46" s="5">
        <f>IF($B46="","",IF($J46="极高","每年必审",IF($J46="高","每年审计",IF($J46="中","两年一轮","按需抽查"))))</f>
        <v/>
      </c>
    </row>
    <row r="47">
      <c r="A47" s="5">
        <f>IF($B47="","",COUNTIFS(风险登记册!$F$4:$F$203,IF($B$2="全部","&lt;&gt;",$B$2),风险登记册!$T$4:$T$203,"&gt;"&amp;$I47)+COUNTIFS(风险登记册!$F$4:$F$203,IF($B$2="全部","&lt;&gt;",$B$2),风险登记册!$T$4:$T$203,$I47,风险登记册!$A$4:$A$203,"&lt;"&amp;$B47)+1)</f>
        <v/>
      </c>
      <c r="B47" s="5">
        <f>IF($B47="","",风险登记册!A30)</f>
        <v/>
      </c>
      <c r="C47" s="6">
        <f>IF($B47="","",风险登记册!B30)</f>
        <v/>
      </c>
      <c r="D47" s="6">
        <f>IF($B47="","",风险登记册!C30)</f>
        <v/>
      </c>
      <c r="E47" s="6">
        <f>IF($B47="","",风险登记册!E30)</f>
        <v/>
      </c>
      <c r="F47" s="5">
        <f>IF($B47="","",风险登记册!G30)</f>
        <v/>
      </c>
      <c r="G47" s="33">
        <f>IF($B47="","",风险登记册!Q30)</f>
        <v/>
      </c>
      <c r="H47" s="5">
        <f>IF($B47="","",风险登记册!R30)</f>
        <v/>
      </c>
      <c r="I47" s="33">
        <f>IF($B47="","",风险登记册!T30)</f>
        <v/>
      </c>
      <c r="J47" s="5">
        <f>IF($B47="","",风险登记册!U30)</f>
        <v/>
      </c>
      <c r="K47" s="5">
        <f>IF($B47="","",IF($J47="极高","每年必审",IF($J47="高","每年审计",IF($J47="中","两年一轮","按需抽查"))))</f>
        <v/>
      </c>
    </row>
    <row r="48">
      <c r="A48" s="5">
        <f>IF($B48="","",COUNTIFS(风险登记册!$F$4:$F$203,IF($B$2="全部","&lt;&gt;",$B$2),风险登记册!$T$4:$T$203,"&gt;"&amp;$I48)+COUNTIFS(风险登记册!$F$4:$F$203,IF($B$2="全部","&lt;&gt;",$B$2),风险登记册!$T$4:$T$203,$I48,风险登记册!$A$4:$A$203,"&lt;"&amp;$B48)+1)</f>
        <v/>
      </c>
      <c r="B48" s="5">
        <f>IF($B48="","",风险登记册!A31)</f>
        <v/>
      </c>
      <c r="C48" s="6">
        <f>IF($B48="","",风险登记册!B31)</f>
        <v/>
      </c>
      <c r="D48" s="6">
        <f>IF($B48="","",风险登记册!C31)</f>
        <v/>
      </c>
      <c r="E48" s="6">
        <f>IF($B48="","",风险登记册!E31)</f>
        <v/>
      </c>
      <c r="F48" s="5">
        <f>IF($B48="","",风险登记册!G31)</f>
        <v/>
      </c>
      <c r="G48" s="33">
        <f>IF($B48="","",风险登记册!Q31)</f>
        <v/>
      </c>
      <c r="H48" s="5">
        <f>IF($B48="","",风险登记册!R31)</f>
        <v/>
      </c>
      <c r="I48" s="33">
        <f>IF($B48="","",风险登记册!T31)</f>
        <v/>
      </c>
      <c r="J48" s="5">
        <f>IF($B48="","",风险登记册!U31)</f>
        <v/>
      </c>
      <c r="K48" s="5">
        <f>IF($B48="","",IF($J48="极高","每年必审",IF($J48="高","每年审计",IF($J48="中","两年一轮","按需抽查"))))</f>
        <v/>
      </c>
    </row>
    <row r="49">
      <c r="A49" s="5">
        <f>IF($B49="","",COUNTIFS(风险登记册!$F$4:$F$203,IF($B$2="全部","&lt;&gt;",$B$2),风险登记册!$T$4:$T$203,"&gt;"&amp;$I49)+COUNTIFS(风险登记册!$F$4:$F$203,IF($B$2="全部","&lt;&gt;",$B$2),风险登记册!$T$4:$T$203,$I49,风险登记册!$A$4:$A$203,"&lt;"&amp;$B49)+1)</f>
        <v/>
      </c>
      <c r="B49" s="5">
        <f>IF($B49="","",风险登记册!A32)</f>
        <v/>
      </c>
      <c r="C49" s="6">
        <f>IF($B49="","",风险登记册!B32)</f>
        <v/>
      </c>
      <c r="D49" s="6">
        <f>IF($B49="","",风险登记册!C32)</f>
        <v/>
      </c>
      <c r="E49" s="6">
        <f>IF($B49="","",风险登记册!E32)</f>
        <v/>
      </c>
      <c r="F49" s="5">
        <f>IF($B49="","",风险登记册!G32)</f>
        <v/>
      </c>
      <c r="G49" s="33">
        <f>IF($B49="","",风险登记册!Q32)</f>
        <v/>
      </c>
      <c r="H49" s="5">
        <f>IF($B49="","",风险登记册!R32)</f>
        <v/>
      </c>
      <c r="I49" s="33">
        <f>IF($B49="","",风险登记册!T32)</f>
        <v/>
      </c>
      <c r="J49" s="5">
        <f>IF($B49="","",风险登记册!U32)</f>
        <v/>
      </c>
      <c r="K49" s="5">
        <f>IF($B49="","",IF($J49="极高","每年必审",IF($J49="高","每年审计",IF($J49="中","两年一轮","按需抽查"))))</f>
        <v/>
      </c>
    </row>
    <row r="50">
      <c r="A50" s="5">
        <f>IF($B50="","",COUNTIFS(风险登记册!$F$4:$F$203,IF($B$2="全部","&lt;&gt;",$B$2),风险登记册!$T$4:$T$203,"&gt;"&amp;$I50)+COUNTIFS(风险登记册!$F$4:$F$203,IF($B$2="全部","&lt;&gt;",$B$2),风险登记册!$T$4:$T$203,$I50,风险登记册!$A$4:$A$203,"&lt;"&amp;$B50)+1)</f>
        <v/>
      </c>
      <c r="B50" s="5">
        <f>IF($B50="","",风险登记册!A33)</f>
        <v/>
      </c>
      <c r="C50" s="6">
        <f>IF($B50="","",风险登记册!B33)</f>
        <v/>
      </c>
      <c r="D50" s="6">
        <f>IF($B50="","",风险登记册!C33)</f>
        <v/>
      </c>
      <c r="E50" s="6">
        <f>IF($B50="","",风险登记册!E33)</f>
        <v/>
      </c>
      <c r="F50" s="5">
        <f>IF($B50="","",风险登记册!G33)</f>
        <v/>
      </c>
      <c r="G50" s="33">
        <f>IF($B50="","",风险登记册!Q33)</f>
        <v/>
      </c>
      <c r="H50" s="5">
        <f>IF($B50="","",风险登记册!R33)</f>
        <v/>
      </c>
      <c r="I50" s="33">
        <f>IF($B50="","",风险登记册!T33)</f>
        <v/>
      </c>
      <c r="J50" s="5">
        <f>IF($B50="","",风险登记册!U33)</f>
        <v/>
      </c>
      <c r="K50" s="5">
        <f>IF($B50="","",IF($J50="极高","每年必审",IF($J50="高","每年审计",IF($J50="中","两年一轮","按需抽查"))))</f>
        <v/>
      </c>
    </row>
    <row r="51">
      <c r="A51" s="5">
        <f>IF($B51="","",COUNTIFS(风险登记册!$F$4:$F$203,IF($B$2="全部","&lt;&gt;",$B$2),风险登记册!$T$4:$T$203,"&gt;"&amp;$I51)+COUNTIFS(风险登记册!$F$4:$F$203,IF($B$2="全部","&lt;&gt;",$B$2),风险登记册!$T$4:$T$203,$I51,风险登记册!$A$4:$A$203,"&lt;"&amp;$B51)+1)</f>
        <v/>
      </c>
      <c r="B51" s="5">
        <f>IF($B51="","",风险登记册!A34)</f>
        <v/>
      </c>
      <c r="C51" s="6">
        <f>IF($B51="","",风险登记册!B34)</f>
        <v/>
      </c>
      <c r="D51" s="6">
        <f>IF($B51="","",风险登记册!C34)</f>
        <v/>
      </c>
      <c r="E51" s="6">
        <f>IF($B51="","",风险登记册!E34)</f>
        <v/>
      </c>
      <c r="F51" s="5">
        <f>IF($B51="","",风险登记册!G34)</f>
        <v/>
      </c>
      <c r="G51" s="33">
        <f>IF($B51="","",风险登记册!Q34)</f>
        <v/>
      </c>
      <c r="H51" s="5">
        <f>IF($B51="","",风险登记册!R34)</f>
        <v/>
      </c>
      <c r="I51" s="33">
        <f>IF($B51="","",风险登记册!T34)</f>
        <v/>
      </c>
      <c r="J51" s="5">
        <f>IF($B51="","",风险登记册!U34)</f>
        <v/>
      </c>
      <c r="K51" s="5">
        <f>IF($B51="","",IF($J51="极高","每年必审",IF($J51="高","每年审计",IF($J51="中","两年一轮","按需抽查"))))</f>
        <v/>
      </c>
    </row>
    <row r="52">
      <c r="A52" s="5">
        <f>IF($B52="","",COUNTIFS(风险登记册!$F$4:$F$203,IF($B$2="全部","&lt;&gt;",$B$2),风险登记册!$T$4:$T$203,"&gt;"&amp;$I52)+COUNTIFS(风险登记册!$F$4:$F$203,IF($B$2="全部","&lt;&gt;",$B$2),风险登记册!$T$4:$T$203,$I52,风险登记册!$A$4:$A$203,"&lt;"&amp;$B52)+1)</f>
        <v/>
      </c>
      <c r="B52" s="5">
        <f>IF($B52="","",风险登记册!A35)</f>
        <v/>
      </c>
      <c r="C52" s="6">
        <f>IF($B52="","",风险登记册!B35)</f>
        <v/>
      </c>
      <c r="D52" s="6">
        <f>IF($B52="","",风险登记册!C35)</f>
        <v/>
      </c>
      <c r="E52" s="6">
        <f>IF($B52="","",风险登记册!E35)</f>
        <v/>
      </c>
      <c r="F52" s="5">
        <f>IF($B52="","",风险登记册!G35)</f>
        <v/>
      </c>
      <c r="G52" s="33">
        <f>IF($B52="","",风险登记册!Q35)</f>
        <v/>
      </c>
      <c r="H52" s="5">
        <f>IF($B52="","",风险登记册!R35)</f>
        <v/>
      </c>
      <c r="I52" s="33">
        <f>IF($B52="","",风险登记册!T35)</f>
        <v/>
      </c>
      <c r="J52" s="5">
        <f>IF($B52="","",风险登记册!U35)</f>
        <v/>
      </c>
      <c r="K52" s="5">
        <f>IF($B52="","",IF($J52="极高","每年必审",IF($J52="高","每年审计",IF($J52="中","两年一轮","按需抽查"))))</f>
        <v/>
      </c>
    </row>
    <row r="53">
      <c r="A53" s="5">
        <f>IF($B53="","",COUNTIFS(风险登记册!$F$4:$F$203,IF($B$2="全部","&lt;&gt;",$B$2),风险登记册!$T$4:$T$203,"&gt;"&amp;$I53)+COUNTIFS(风险登记册!$F$4:$F$203,IF($B$2="全部","&lt;&gt;",$B$2),风险登记册!$T$4:$T$203,$I53,风险登记册!$A$4:$A$203,"&lt;"&amp;$B53)+1)</f>
        <v/>
      </c>
      <c r="B53" s="5">
        <f>IF($B53="","",风险登记册!A36)</f>
        <v/>
      </c>
      <c r="C53" s="6">
        <f>IF($B53="","",风险登记册!B36)</f>
        <v/>
      </c>
      <c r="D53" s="6">
        <f>IF($B53="","",风险登记册!C36)</f>
        <v/>
      </c>
      <c r="E53" s="6">
        <f>IF($B53="","",风险登记册!E36)</f>
        <v/>
      </c>
      <c r="F53" s="5">
        <f>IF($B53="","",风险登记册!G36)</f>
        <v/>
      </c>
      <c r="G53" s="33">
        <f>IF($B53="","",风险登记册!Q36)</f>
        <v/>
      </c>
      <c r="H53" s="5">
        <f>IF($B53="","",风险登记册!R36)</f>
        <v/>
      </c>
      <c r="I53" s="33">
        <f>IF($B53="","",风险登记册!T36)</f>
        <v/>
      </c>
      <c r="J53" s="5">
        <f>IF($B53="","",风险登记册!U36)</f>
        <v/>
      </c>
      <c r="K53" s="5">
        <f>IF($B53="","",IF($J53="极高","每年必审",IF($J53="高","每年审计",IF($J53="中","两年一轮","按需抽查"))))</f>
        <v/>
      </c>
    </row>
    <row r="54">
      <c r="A54" s="5">
        <f>IF($B54="","",COUNTIFS(风险登记册!$F$4:$F$203,IF($B$2="全部","&lt;&gt;",$B$2),风险登记册!$T$4:$T$203,"&gt;"&amp;$I54)+COUNTIFS(风险登记册!$F$4:$F$203,IF($B$2="全部","&lt;&gt;",$B$2),风险登记册!$T$4:$T$203,$I54,风险登记册!$A$4:$A$203,"&lt;"&amp;$B54)+1)</f>
        <v/>
      </c>
      <c r="B54" s="5">
        <f>IF($B54="","",风险登记册!A37)</f>
        <v/>
      </c>
      <c r="C54" s="6">
        <f>IF($B54="","",风险登记册!B37)</f>
        <v/>
      </c>
      <c r="D54" s="6">
        <f>IF($B54="","",风险登记册!C37)</f>
        <v/>
      </c>
      <c r="E54" s="6">
        <f>IF($B54="","",风险登记册!E37)</f>
        <v/>
      </c>
      <c r="F54" s="5">
        <f>IF($B54="","",风险登记册!G37)</f>
        <v/>
      </c>
      <c r="G54" s="33">
        <f>IF($B54="","",风险登记册!Q37)</f>
        <v/>
      </c>
      <c r="H54" s="5">
        <f>IF($B54="","",风险登记册!R37)</f>
        <v/>
      </c>
      <c r="I54" s="33">
        <f>IF($B54="","",风险登记册!T37)</f>
        <v/>
      </c>
      <c r="J54" s="5">
        <f>IF($B54="","",风险登记册!U37)</f>
        <v/>
      </c>
      <c r="K54" s="5">
        <f>IF($B54="","",IF($J54="极高","每年必审",IF($J54="高","每年审计",IF($J54="中","两年一轮","按需抽查"))))</f>
        <v/>
      </c>
    </row>
    <row r="55">
      <c r="A55" s="5">
        <f>IF($B55="","",COUNTIFS(风险登记册!$F$4:$F$203,IF($B$2="全部","&lt;&gt;",$B$2),风险登记册!$T$4:$T$203,"&gt;"&amp;$I55)+COUNTIFS(风险登记册!$F$4:$F$203,IF($B$2="全部","&lt;&gt;",$B$2),风险登记册!$T$4:$T$203,$I55,风险登记册!$A$4:$A$203,"&lt;"&amp;$B55)+1)</f>
        <v/>
      </c>
      <c r="B55" s="5">
        <f>IF($B55="","",风险登记册!A38)</f>
        <v/>
      </c>
      <c r="C55" s="6">
        <f>IF($B55="","",风险登记册!B38)</f>
        <v/>
      </c>
      <c r="D55" s="6">
        <f>IF($B55="","",风险登记册!C38)</f>
        <v/>
      </c>
      <c r="E55" s="6">
        <f>IF($B55="","",风险登记册!E38)</f>
        <v/>
      </c>
      <c r="F55" s="5">
        <f>IF($B55="","",风险登记册!G38)</f>
        <v/>
      </c>
      <c r="G55" s="33">
        <f>IF($B55="","",风险登记册!Q38)</f>
        <v/>
      </c>
      <c r="H55" s="5">
        <f>IF($B55="","",风险登记册!R38)</f>
        <v/>
      </c>
      <c r="I55" s="33">
        <f>IF($B55="","",风险登记册!T38)</f>
        <v/>
      </c>
      <c r="J55" s="5">
        <f>IF($B55="","",风险登记册!U38)</f>
        <v/>
      </c>
      <c r="K55" s="5">
        <f>IF($B55="","",IF($J55="极高","每年必审",IF($J55="高","每年审计",IF($J55="中","两年一轮","按需抽查"))))</f>
        <v/>
      </c>
    </row>
    <row r="56">
      <c r="A56" s="5">
        <f>IF($B56="","",COUNTIFS(风险登记册!$F$4:$F$203,IF($B$2="全部","&lt;&gt;",$B$2),风险登记册!$T$4:$T$203,"&gt;"&amp;$I56)+COUNTIFS(风险登记册!$F$4:$F$203,IF($B$2="全部","&lt;&gt;",$B$2),风险登记册!$T$4:$T$203,$I56,风险登记册!$A$4:$A$203,"&lt;"&amp;$B56)+1)</f>
        <v/>
      </c>
      <c r="B56" s="5">
        <f>IF($B56="","",风险登记册!A39)</f>
        <v/>
      </c>
      <c r="C56" s="6">
        <f>IF($B56="","",风险登记册!B39)</f>
        <v/>
      </c>
      <c r="D56" s="6">
        <f>IF($B56="","",风险登记册!C39)</f>
        <v/>
      </c>
      <c r="E56" s="6">
        <f>IF($B56="","",风险登记册!E39)</f>
        <v/>
      </c>
      <c r="F56" s="5">
        <f>IF($B56="","",风险登记册!G39)</f>
        <v/>
      </c>
      <c r="G56" s="33">
        <f>IF($B56="","",风险登记册!Q39)</f>
        <v/>
      </c>
      <c r="H56" s="5">
        <f>IF($B56="","",风险登记册!R39)</f>
        <v/>
      </c>
      <c r="I56" s="33">
        <f>IF($B56="","",风险登记册!T39)</f>
        <v/>
      </c>
      <c r="J56" s="5">
        <f>IF($B56="","",风险登记册!U39)</f>
        <v/>
      </c>
      <c r="K56" s="5">
        <f>IF($B56="","",IF($J56="极高","每年必审",IF($J56="高","每年审计",IF($J56="中","两年一轮","按需抽查"))))</f>
        <v/>
      </c>
    </row>
    <row r="57">
      <c r="A57" s="5">
        <f>IF($B57="","",COUNTIFS(风险登记册!$F$4:$F$203,IF($B$2="全部","&lt;&gt;",$B$2),风险登记册!$T$4:$T$203,"&gt;"&amp;$I57)+COUNTIFS(风险登记册!$F$4:$F$203,IF($B$2="全部","&lt;&gt;",$B$2),风险登记册!$T$4:$T$203,$I57,风险登记册!$A$4:$A$203,"&lt;"&amp;$B57)+1)</f>
        <v/>
      </c>
      <c r="B57" s="5">
        <f>IF($B57="","",风险登记册!A40)</f>
        <v/>
      </c>
      <c r="C57" s="6">
        <f>IF($B57="","",风险登记册!B40)</f>
        <v/>
      </c>
      <c r="D57" s="6">
        <f>IF($B57="","",风险登记册!C40)</f>
        <v/>
      </c>
      <c r="E57" s="6">
        <f>IF($B57="","",风险登记册!E40)</f>
        <v/>
      </c>
      <c r="F57" s="5">
        <f>IF($B57="","",风险登记册!G40)</f>
        <v/>
      </c>
      <c r="G57" s="33">
        <f>IF($B57="","",风险登记册!Q40)</f>
        <v/>
      </c>
      <c r="H57" s="5">
        <f>IF($B57="","",风险登记册!R40)</f>
        <v/>
      </c>
      <c r="I57" s="33">
        <f>IF($B57="","",风险登记册!T40)</f>
        <v/>
      </c>
      <c r="J57" s="5">
        <f>IF($B57="","",风险登记册!U40)</f>
        <v/>
      </c>
      <c r="K57" s="5">
        <f>IF($B57="","",IF($J57="极高","每年必审",IF($J57="高","每年审计",IF($J57="中","两年一轮","按需抽查"))))</f>
        <v/>
      </c>
    </row>
    <row r="58">
      <c r="A58" s="5">
        <f>IF($B58="","",COUNTIFS(风险登记册!$F$4:$F$203,IF($B$2="全部","&lt;&gt;",$B$2),风险登记册!$T$4:$T$203,"&gt;"&amp;$I58)+COUNTIFS(风险登记册!$F$4:$F$203,IF($B$2="全部","&lt;&gt;",$B$2),风险登记册!$T$4:$T$203,$I58,风险登记册!$A$4:$A$203,"&lt;"&amp;$B58)+1)</f>
        <v/>
      </c>
      <c r="B58" s="5">
        <f>IF($B58="","",风险登记册!A41)</f>
        <v/>
      </c>
      <c r="C58" s="6">
        <f>IF($B58="","",风险登记册!B41)</f>
        <v/>
      </c>
      <c r="D58" s="6">
        <f>IF($B58="","",风险登记册!C41)</f>
        <v/>
      </c>
      <c r="E58" s="6">
        <f>IF($B58="","",风险登记册!E41)</f>
        <v/>
      </c>
      <c r="F58" s="5">
        <f>IF($B58="","",风险登记册!G41)</f>
        <v/>
      </c>
      <c r="G58" s="33">
        <f>IF($B58="","",风险登记册!Q41)</f>
        <v/>
      </c>
      <c r="H58" s="5">
        <f>IF($B58="","",风险登记册!R41)</f>
        <v/>
      </c>
      <c r="I58" s="33">
        <f>IF($B58="","",风险登记册!T41)</f>
        <v/>
      </c>
      <c r="J58" s="5">
        <f>IF($B58="","",风险登记册!U41)</f>
        <v/>
      </c>
      <c r="K58" s="5">
        <f>IF($B58="","",IF($J58="极高","每年必审",IF($J58="高","每年审计",IF($J58="中","两年一轮","按需抽查"))))</f>
        <v/>
      </c>
    </row>
    <row r="59">
      <c r="A59" s="5">
        <f>IF($B59="","",COUNTIFS(风险登记册!$F$4:$F$203,IF($B$2="全部","&lt;&gt;",$B$2),风险登记册!$T$4:$T$203,"&gt;"&amp;$I59)+COUNTIFS(风险登记册!$F$4:$F$203,IF($B$2="全部","&lt;&gt;",$B$2),风险登记册!$T$4:$T$203,$I59,风险登记册!$A$4:$A$203,"&lt;"&amp;$B59)+1)</f>
        <v/>
      </c>
      <c r="B59" s="5">
        <f>IF($B59="","",风险登记册!A42)</f>
        <v/>
      </c>
      <c r="C59" s="6">
        <f>IF($B59="","",风险登记册!B42)</f>
        <v/>
      </c>
      <c r="D59" s="6">
        <f>IF($B59="","",风险登记册!C42)</f>
        <v/>
      </c>
      <c r="E59" s="6">
        <f>IF($B59="","",风险登记册!E42)</f>
        <v/>
      </c>
      <c r="F59" s="5">
        <f>IF($B59="","",风险登记册!G42)</f>
        <v/>
      </c>
      <c r="G59" s="33">
        <f>IF($B59="","",风险登记册!Q42)</f>
        <v/>
      </c>
      <c r="H59" s="5">
        <f>IF($B59="","",风险登记册!R42)</f>
        <v/>
      </c>
      <c r="I59" s="33">
        <f>IF($B59="","",风险登记册!T42)</f>
        <v/>
      </c>
      <c r="J59" s="5">
        <f>IF($B59="","",风险登记册!U42)</f>
        <v/>
      </c>
      <c r="K59" s="5">
        <f>IF($B59="","",IF($J59="极高","每年必审",IF($J59="高","每年审计",IF($J59="中","两年一轮","按需抽查"))))</f>
        <v/>
      </c>
    </row>
    <row r="60">
      <c r="A60" s="5">
        <f>IF($B60="","",COUNTIFS(风险登记册!$F$4:$F$203,IF($B$2="全部","&lt;&gt;",$B$2),风险登记册!$T$4:$T$203,"&gt;"&amp;$I60)+COUNTIFS(风险登记册!$F$4:$F$203,IF($B$2="全部","&lt;&gt;",$B$2),风险登记册!$T$4:$T$203,$I60,风险登记册!$A$4:$A$203,"&lt;"&amp;$B60)+1)</f>
        <v/>
      </c>
      <c r="B60" s="5">
        <f>IF($B60="","",风险登记册!A43)</f>
        <v/>
      </c>
      <c r="C60" s="6">
        <f>IF($B60="","",风险登记册!B43)</f>
        <v/>
      </c>
      <c r="D60" s="6">
        <f>IF($B60="","",风险登记册!C43)</f>
        <v/>
      </c>
      <c r="E60" s="6">
        <f>IF($B60="","",风险登记册!E43)</f>
        <v/>
      </c>
      <c r="F60" s="5">
        <f>IF($B60="","",风险登记册!G43)</f>
        <v/>
      </c>
      <c r="G60" s="33">
        <f>IF($B60="","",风险登记册!Q43)</f>
        <v/>
      </c>
      <c r="H60" s="5">
        <f>IF($B60="","",风险登记册!R43)</f>
        <v/>
      </c>
      <c r="I60" s="33">
        <f>IF($B60="","",风险登记册!T43)</f>
        <v/>
      </c>
      <c r="J60" s="5">
        <f>IF($B60="","",风险登记册!U43)</f>
        <v/>
      </c>
      <c r="K60" s="5">
        <f>IF($B60="","",IF($J60="极高","每年必审",IF($J60="高","每年审计",IF($J60="中","两年一轮","按需抽查"))))</f>
        <v/>
      </c>
    </row>
    <row r="61">
      <c r="A61" s="5">
        <f>IF($B61="","",COUNTIFS(风险登记册!$F$4:$F$203,IF($B$2="全部","&lt;&gt;",$B$2),风险登记册!$T$4:$T$203,"&gt;"&amp;$I61)+COUNTIFS(风险登记册!$F$4:$F$203,IF($B$2="全部","&lt;&gt;",$B$2),风险登记册!$T$4:$T$203,$I61,风险登记册!$A$4:$A$203,"&lt;"&amp;$B61)+1)</f>
        <v/>
      </c>
      <c r="B61" s="5">
        <f>IF($B61="","",风险登记册!A44)</f>
        <v/>
      </c>
      <c r="C61" s="6">
        <f>IF($B61="","",风险登记册!B44)</f>
        <v/>
      </c>
      <c r="D61" s="6">
        <f>IF($B61="","",风险登记册!C44)</f>
        <v/>
      </c>
      <c r="E61" s="6">
        <f>IF($B61="","",风险登记册!E44)</f>
        <v/>
      </c>
      <c r="F61" s="5">
        <f>IF($B61="","",风险登记册!G44)</f>
        <v/>
      </c>
      <c r="G61" s="33">
        <f>IF($B61="","",风险登记册!Q44)</f>
        <v/>
      </c>
      <c r="H61" s="5">
        <f>IF($B61="","",风险登记册!R44)</f>
        <v/>
      </c>
      <c r="I61" s="33">
        <f>IF($B61="","",风险登记册!T44)</f>
        <v/>
      </c>
      <c r="J61" s="5">
        <f>IF($B61="","",风险登记册!U44)</f>
        <v/>
      </c>
      <c r="K61" s="5">
        <f>IF($B61="","",IF($J61="极高","每年必审",IF($J61="高","每年审计",IF($J61="中","两年一轮","按需抽查"))))</f>
        <v/>
      </c>
    </row>
    <row r="62">
      <c r="A62" s="5">
        <f>IF($B62="","",COUNTIFS(风险登记册!$F$4:$F$203,IF($B$2="全部","&lt;&gt;",$B$2),风险登记册!$T$4:$T$203,"&gt;"&amp;$I62)+COUNTIFS(风险登记册!$F$4:$F$203,IF($B$2="全部","&lt;&gt;",$B$2),风险登记册!$T$4:$T$203,$I62,风险登记册!$A$4:$A$203,"&lt;"&amp;$B62)+1)</f>
        <v/>
      </c>
      <c r="B62" s="5">
        <f>IF($B62="","",风险登记册!A45)</f>
        <v/>
      </c>
      <c r="C62" s="6">
        <f>IF($B62="","",风险登记册!B45)</f>
        <v/>
      </c>
      <c r="D62" s="6">
        <f>IF($B62="","",风险登记册!C45)</f>
        <v/>
      </c>
      <c r="E62" s="6">
        <f>IF($B62="","",风险登记册!E45)</f>
        <v/>
      </c>
      <c r="F62" s="5">
        <f>IF($B62="","",风险登记册!G45)</f>
        <v/>
      </c>
      <c r="G62" s="33">
        <f>IF($B62="","",风险登记册!Q45)</f>
        <v/>
      </c>
      <c r="H62" s="5">
        <f>IF($B62="","",风险登记册!R45)</f>
        <v/>
      </c>
      <c r="I62" s="33">
        <f>IF($B62="","",风险登记册!T45)</f>
        <v/>
      </c>
      <c r="J62" s="5">
        <f>IF($B62="","",风险登记册!U45)</f>
        <v/>
      </c>
      <c r="K62" s="5">
        <f>IF($B62="","",IF($J62="极高","每年必审",IF($J62="高","每年审计",IF($J62="中","两年一轮","按需抽查"))))</f>
        <v/>
      </c>
    </row>
    <row r="63">
      <c r="A63" s="5">
        <f>IF($B63="","",COUNTIFS(风险登记册!$F$4:$F$203,IF($B$2="全部","&lt;&gt;",$B$2),风险登记册!$T$4:$T$203,"&gt;"&amp;$I63)+COUNTIFS(风险登记册!$F$4:$F$203,IF($B$2="全部","&lt;&gt;",$B$2),风险登记册!$T$4:$T$203,$I63,风险登记册!$A$4:$A$203,"&lt;"&amp;$B63)+1)</f>
        <v/>
      </c>
      <c r="B63" s="5">
        <f>IF($B63="","",风险登记册!A46)</f>
        <v/>
      </c>
      <c r="C63" s="6">
        <f>IF($B63="","",风险登记册!B46)</f>
        <v/>
      </c>
      <c r="D63" s="6">
        <f>IF($B63="","",风险登记册!C46)</f>
        <v/>
      </c>
      <c r="E63" s="6">
        <f>IF($B63="","",风险登记册!E46)</f>
        <v/>
      </c>
      <c r="F63" s="5">
        <f>IF($B63="","",风险登记册!G46)</f>
        <v/>
      </c>
      <c r="G63" s="33">
        <f>IF($B63="","",风险登记册!Q46)</f>
        <v/>
      </c>
      <c r="H63" s="5">
        <f>IF($B63="","",风险登记册!R46)</f>
        <v/>
      </c>
      <c r="I63" s="33">
        <f>IF($B63="","",风险登记册!T46)</f>
        <v/>
      </c>
      <c r="J63" s="5">
        <f>IF($B63="","",风险登记册!U46)</f>
        <v/>
      </c>
      <c r="K63" s="5">
        <f>IF($B63="","",IF($J63="极高","每年必审",IF($J63="高","每年审计",IF($J63="中","两年一轮","按需抽查"))))</f>
        <v/>
      </c>
    </row>
    <row r="64">
      <c r="A64" s="5">
        <f>IF($B64="","",COUNTIFS(风险登记册!$F$4:$F$203,IF($B$2="全部","&lt;&gt;",$B$2),风险登记册!$T$4:$T$203,"&gt;"&amp;$I64)+COUNTIFS(风险登记册!$F$4:$F$203,IF($B$2="全部","&lt;&gt;",$B$2),风险登记册!$T$4:$T$203,$I64,风险登记册!$A$4:$A$203,"&lt;"&amp;$B64)+1)</f>
        <v/>
      </c>
      <c r="B64" s="5">
        <f>IF($B64="","",风险登记册!A47)</f>
        <v/>
      </c>
      <c r="C64" s="6">
        <f>IF($B64="","",风险登记册!B47)</f>
        <v/>
      </c>
      <c r="D64" s="6">
        <f>IF($B64="","",风险登记册!C47)</f>
        <v/>
      </c>
      <c r="E64" s="6">
        <f>IF($B64="","",风险登记册!E47)</f>
        <v/>
      </c>
      <c r="F64" s="5">
        <f>IF($B64="","",风险登记册!G47)</f>
        <v/>
      </c>
      <c r="G64" s="33">
        <f>IF($B64="","",风险登记册!Q47)</f>
        <v/>
      </c>
      <c r="H64" s="5">
        <f>IF($B64="","",风险登记册!R47)</f>
        <v/>
      </c>
      <c r="I64" s="33">
        <f>IF($B64="","",风险登记册!T47)</f>
        <v/>
      </c>
      <c r="J64" s="5">
        <f>IF($B64="","",风险登记册!U47)</f>
        <v/>
      </c>
      <c r="K64" s="5">
        <f>IF($B64="","",IF($J64="极高","每年必审",IF($J64="高","每年审计",IF($J64="中","两年一轮","按需抽查"))))</f>
        <v/>
      </c>
    </row>
    <row r="65">
      <c r="A65" s="5">
        <f>IF($B65="","",COUNTIFS(风险登记册!$F$4:$F$203,IF($B$2="全部","&lt;&gt;",$B$2),风险登记册!$T$4:$T$203,"&gt;"&amp;$I65)+COUNTIFS(风险登记册!$F$4:$F$203,IF($B$2="全部","&lt;&gt;",$B$2),风险登记册!$T$4:$T$203,$I65,风险登记册!$A$4:$A$203,"&lt;"&amp;$B65)+1)</f>
        <v/>
      </c>
      <c r="B65" s="5">
        <f>IF($B65="","",风险登记册!A48)</f>
        <v/>
      </c>
      <c r="C65" s="6">
        <f>IF($B65="","",风险登记册!B48)</f>
        <v/>
      </c>
      <c r="D65" s="6">
        <f>IF($B65="","",风险登记册!C48)</f>
        <v/>
      </c>
      <c r="E65" s="6">
        <f>IF($B65="","",风险登记册!E48)</f>
        <v/>
      </c>
      <c r="F65" s="5">
        <f>IF($B65="","",风险登记册!G48)</f>
        <v/>
      </c>
      <c r="G65" s="33">
        <f>IF($B65="","",风险登记册!Q48)</f>
        <v/>
      </c>
      <c r="H65" s="5">
        <f>IF($B65="","",风险登记册!R48)</f>
        <v/>
      </c>
      <c r="I65" s="33">
        <f>IF($B65="","",风险登记册!T48)</f>
        <v/>
      </c>
      <c r="J65" s="5">
        <f>IF($B65="","",风险登记册!U48)</f>
        <v/>
      </c>
      <c r="K65" s="5">
        <f>IF($B65="","",IF($J65="极高","每年必审",IF($J65="高","每年审计",IF($J65="中","两年一轮","按需抽查"))))</f>
        <v/>
      </c>
    </row>
    <row r="66">
      <c r="A66" s="5">
        <f>IF($B66="","",COUNTIFS(风险登记册!$F$4:$F$203,IF($B$2="全部","&lt;&gt;",$B$2),风险登记册!$T$4:$T$203,"&gt;"&amp;$I66)+COUNTIFS(风险登记册!$F$4:$F$203,IF($B$2="全部","&lt;&gt;",$B$2),风险登记册!$T$4:$T$203,$I66,风险登记册!$A$4:$A$203,"&lt;"&amp;$B66)+1)</f>
        <v/>
      </c>
      <c r="B66" s="5">
        <f>IF($B66="","",风险登记册!A49)</f>
        <v/>
      </c>
      <c r="C66" s="6">
        <f>IF($B66="","",风险登记册!B49)</f>
        <v/>
      </c>
      <c r="D66" s="6">
        <f>IF($B66="","",风险登记册!C49)</f>
        <v/>
      </c>
      <c r="E66" s="6">
        <f>IF($B66="","",风险登记册!E49)</f>
        <v/>
      </c>
      <c r="F66" s="5">
        <f>IF($B66="","",风险登记册!G49)</f>
        <v/>
      </c>
      <c r="G66" s="33">
        <f>IF($B66="","",风险登记册!Q49)</f>
        <v/>
      </c>
      <c r="H66" s="5">
        <f>IF($B66="","",风险登记册!R49)</f>
        <v/>
      </c>
      <c r="I66" s="33">
        <f>IF($B66="","",风险登记册!T49)</f>
        <v/>
      </c>
      <c r="J66" s="5">
        <f>IF($B66="","",风险登记册!U49)</f>
        <v/>
      </c>
      <c r="K66" s="5">
        <f>IF($B66="","",IF($J66="极高","每年必审",IF($J66="高","每年审计",IF($J66="中","两年一轮","按需抽查"))))</f>
        <v/>
      </c>
    </row>
    <row r="67">
      <c r="A67" s="5">
        <f>IF($B67="","",COUNTIFS(风险登记册!$F$4:$F$203,IF($B$2="全部","&lt;&gt;",$B$2),风险登记册!$T$4:$T$203,"&gt;"&amp;$I67)+COUNTIFS(风险登记册!$F$4:$F$203,IF($B$2="全部","&lt;&gt;",$B$2),风险登记册!$T$4:$T$203,$I67,风险登记册!$A$4:$A$203,"&lt;"&amp;$B67)+1)</f>
        <v/>
      </c>
      <c r="B67" s="5">
        <f>IF($B67="","",风险登记册!A50)</f>
        <v/>
      </c>
      <c r="C67" s="6">
        <f>IF($B67="","",风险登记册!B50)</f>
        <v/>
      </c>
      <c r="D67" s="6">
        <f>IF($B67="","",风险登记册!C50)</f>
        <v/>
      </c>
      <c r="E67" s="6">
        <f>IF($B67="","",风险登记册!E50)</f>
        <v/>
      </c>
      <c r="F67" s="5">
        <f>IF($B67="","",风险登记册!G50)</f>
        <v/>
      </c>
      <c r="G67" s="33">
        <f>IF($B67="","",风险登记册!Q50)</f>
        <v/>
      </c>
      <c r="H67" s="5">
        <f>IF($B67="","",风险登记册!R50)</f>
        <v/>
      </c>
      <c r="I67" s="33">
        <f>IF($B67="","",风险登记册!T50)</f>
        <v/>
      </c>
      <c r="J67" s="5">
        <f>IF($B67="","",风险登记册!U50)</f>
        <v/>
      </c>
      <c r="K67" s="5">
        <f>IF($B67="","",IF($J67="极高","每年必审",IF($J67="高","每年审计",IF($J67="中","两年一轮","按需抽查"))))</f>
        <v/>
      </c>
    </row>
    <row r="68">
      <c r="A68" s="5">
        <f>IF($B68="","",COUNTIFS(风险登记册!$F$4:$F$203,IF($B$2="全部","&lt;&gt;",$B$2),风险登记册!$T$4:$T$203,"&gt;"&amp;$I68)+COUNTIFS(风险登记册!$F$4:$F$203,IF($B$2="全部","&lt;&gt;",$B$2),风险登记册!$T$4:$T$203,$I68,风险登记册!$A$4:$A$203,"&lt;"&amp;$B68)+1)</f>
        <v/>
      </c>
      <c r="B68" s="5">
        <f>IF($B68="","",风险登记册!A51)</f>
        <v/>
      </c>
      <c r="C68" s="6">
        <f>IF($B68="","",风险登记册!B51)</f>
        <v/>
      </c>
      <c r="D68" s="6">
        <f>IF($B68="","",风险登记册!C51)</f>
        <v/>
      </c>
      <c r="E68" s="6">
        <f>IF($B68="","",风险登记册!E51)</f>
        <v/>
      </c>
      <c r="F68" s="5">
        <f>IF($B68="","",风险登记册!G51)</f>
        <v/>
      </c>
      <c r="G68" s="33">
        <f>IF($B68="","",风险登记册!Q51)</f>
        <v/>
      </c>
      <c r="H68" s="5">
        <f>IF($B68="","",风险登记册!R51)</f>
        <v/>
      </c>
      <c r="I68" s="33">
        <f>IF($B68="","",风险登记册!T51)</f>
        <v/>
      </c>
      <c r="J68" s="5">
        <f>IF($B68="","",风险登记册!U51)</f>
        <v/>
      </c>
      <c r="K68" s="5">
        <f>IF($B68="","",IF($J68="极高","每年必审",IF($J68="高","每年审计",IF($J68="中","两年一轮","按需抽查"))))</f>
        <v/>
      </c>
    </row>
    <row r="69">
      <c r="A69" s="5">
        <f>IF($B69="","",COUNTIFS(风险登记册!$F$4:$F$203,IF($B$2="全部","&lt;&gt;",$B$2),风险登记册!$T$4:$T$203,"&gt;"&amp;$I69)+COUNTIFS(风险登记册!$F$4:$F$203,IF($B$2="全部","&lt;&gt;",$B$2),风险登记册!$T$4:$T$203,$I69,风险登记册!$A$4:$A$203,"&lt;"&amp;$B69)+1)</f>
        <v/>
      </c>
      <c r="B69" s="5">
        <f>IF($B69="","",风险登记册!A52)</f>
        <v/>
      </c>
      <c r="C69" s="6">
        <f>IF($B69="","",风险登记册!B52)</f>
        <v/>
      </c>
      <c r="D69" s="6">
        <f>IF($B69="","",风险登记册!C52)</f>
        <v/>
      </c>
      <c r="E69" s="6">
        <f>IF($B69="","",风险登记册!E52)</f>
        <v/>
      </c>
      <c r="F69" s="5">
        <f>IF($B69="","",风险登记册!G52)</f>
        <v/>
      </c>
      <c r="G69" s="33">
        <f>IF($B69="","",风险登记册!Q52)</f>
        <v/>
      </c>
      <c r="H69" s="5">
        <f>IF($B69="","",风险登记册!R52)</f>
        <v/>
      </c>
      <c r="I69" s="33">
        <f>IF($B69="","",风险登记册!T52)</f>
        <v/>
      </c>
      <c r="J69" s="5">
        <f>IF($B69="","",风险登记册!U52)</f>
        <v/>
      </c>
      <c r="K69" s="5">
        <f>IF($B69="","",IF($J69="极高","每年必审",IF($J69="高","每年审计",IF($J69="中","两年一轮","按需抽查"))))</f>
        <v/>
      </c>
    </row>
    <row r="70">
      <c r="A70" s="5">
        <f>IF($B70="","",COUNTIFS(风险登记册!$F$4:$F$203,IF($B$2="全部","&lt;&gt;",$B$2),风险登记册!$T$4:$T$203,"&gt;"&amp;$I70)+COUNTIFS(风险登记册!$F$4:$F$203,IF($B$2="全部","&lt;&gt;",$B$2),风险登记册!$T$4:$T$203,$I70,风险登记册!$A$4:$A$203,"&lt;"&amp;$B70)+1)</f>
        <v/>
      </c>
      <c r="B70" s="5">
        <f>IF($B70="","",风险登记册!A53)</f>
        <v/>
      </c>
      <c r="C70" s="6">
        <f>IF($B70="","",风险登记册!B53)</f>
        <v/>
      </c>
      <c r="D70" s="6">
        <f>IF($B70="","",风险登记册!C53)</f>
        <v/>
      </c>
      <c r="E70" s="6">
        <f>IF($B70="","",风险登记册!E53)</f>
        <v/>
      </c>
      <c r="F70" s="5">
        <f>IF($B70="","",风险登记册!G53)</f>
        <v/>
      </c>
      <c r="G70" s="33">
        <f>IF($B70="","",风险登记册!Q53)</f>
        <v/>
      </c>
      <c r="H70" s="5">
        <f>IF($B70="","",风险登记册!R53)</f>
        <v/>
      </c>
      <c r="I70" s="33">
        <f>IF($B70="","",风险登记册!T53)</f>
        <v/>
      </c>
      <c r="J70" s="5">
        <f>IF($B70="","",风险登记册!U53)</f>
        <v/>
      </c>
      <c r="K70" s="5">
        <f>IF($B70="","",IF($J70="极高","每年必审",IF($J70="高","每年审计",IF($J70="中","两年一轮","按需抽查"))))</f>
        <v/>
      </c>
    </row>
    <row r="71">
      <c r="A71" s="5">
        <f>IF($B71="","",COUNTIFS(风险登记册!$F$4:$F$203,IF($B$2="全部","&lt;&gt;",$B$2),风险登记册!$T$4:$T$203,"&gt;"&amp;$I71)+COUNTIFS(风险登记册!$F$4:$F$203,IF($B$2="全部","&lt;&gt;",$B$2),风险登记册!$T$4:$T$203,$I71,风险登记册!$A$4:$A$203,"&lt;"&amp;$B71)+1)</f>
        <v/>
      </c>
      <c r="B71" s="5">
        <f>IF($B71="","",风险登记册!A54)</f>
        <v/>
      </c>
      <c r="C71" s="6">
        <f>IF($B71="","",风险登记册!B54)</f>
        <v/>
      </c>
      <c r="D71" s="6">
        <f>IF($B71="","",风险登记册!C54)</f>
        <v/>
      </c>
      <c r="E71" s="6">
        <f>IF($B71="","",风险登记册!E54)</f>
        <v/>
      </c>
      <c r="F71" s="5">
        <f>IF($B71="","",风险登记册!G54)</f>
        <v/>
      </c>
      <c r="G71" s="33">
        <f>IF($B71="","",风险登记册!Q54)</f>
        <v/>
      </c>
      <c r="H71" s="5">
        <f>IF($B71="","",风险登记册!R54)</f>
        <v/>
      </c>
      <c r="I71" s="33">
        <f>IF($B71="","",风险登记册!T54)</f>
        <v/>
      </c>
      <c r="J71" s="5">
        <f>IF($B71="","",风险登记册!U54)</f>
        <v/>
      </c>
      <c r="K71" s="5">
        <f>IF($B71="","",IF($J71="极高","每年必审",IF($J71="高","每年审计",IF($J71="中","两年一轮","按需抽查"))))</f>
        <v/>
      </c>
    </row>
    <row r="72">
      <c r="A72" s="5">
        <f>IF($B72="","",COUNTIFS(风险登记册!$F$4:$F$203,IF($B$2="全部","&lt;&gt;",$B$2),风险登记册!$T$4:$T$203,"&gt;"&amp;$I72)+COUNTIFS(风险登记册!$F$4:$F$203,IF($B$2="全部","&lt;&gt;",$B$2),风险登记册!$T$4:$T$203,$I72,风险登记册!$A$4:$A$203,"&lt;"&amp;$B72)+1)</f>
        <v/>
      </c>
      <c r="B72" s="5">
        <f>IF($B72="","",风险登记册!A55)</f>
        <v/>
      </c>
      <c r="C72" s="6">
        <f>IF($B72="","",风险登记册!B55)</f>
        <v/>
      </c>
      <c r="D72" s="6">
        <f>IF($B72="","",风险登记册!C55)</f>
        <v/>
      </c>
      <c r="E72" s="6">
        <f>IF($B72="","",风险登记册!E55)</f>
        <v/>
      </c>
      <c r="F72" s="5">
        <f>IF($B72="","",风险登记册!G55)</f>
        <v/>
      </c>
      <c r="G72" s="33">
        <f>IF($B72="","",风险登记册!Q55)</f>
        <v/>
      </c>
      <c r="H72" s="5">
        <f>IF($B72="","",风险登记册!R55)</f>
        <v/>
      </c>
      <c r="I72" s="33">
        <f>IF($B72="","",风险登记册!T55)</f>
        <v/>
      </c>
      <c r="J72" s="5">
        <f>IF($B72="","",风险登记册!U55)</f>
        <v/>
      </c>
      <c r="K72" s="5">
        <f>IF($B72="","",IF($J72="极高","每年必审",IF($J72="高","每年审计",IF($J72="中","两年一轮","按需抽查"))))</f>
        <v/>
      </c>
    </row>
    <row r="73">
      <c r="A73" s="5">
        <f>IF($B73="","",COUNTIFS(风险登记册!$F$4:$F$203,IF($B$2="全部","&lt;&gt;",$B$2),风险登记册!$T$4:$T$203,"&gt;"&amp;$I73)+COUNTIFS(风险登记册!$F$4:$F$203,IF($B$2="全部","&lt;&gt;",$B$2),风险登记册!$T$4:$T$203,$I73,风险登记册!$A$4:$A$203,"&lt;"&amp;$B73)+1)</f>
        <v/>
      </c>
      <c r="B73" s="5">
        <f>IF($B73="","",风险登记册!A56)</f>
        <v/>
      </c>
      <c r="C73" s="6">
        <f>IF($B73="","",风险登记册!B56)</f>
        <v/>
      </c>
      <c r="D73" s="6">
        <f>IF($B73="","",风险登记册!C56)</f>
        <v/>
      </c>
      <c r="E73" s="6">
        <f>IF($B73="","",风险登记册!E56)</f>
        <v/>
      </c>
      <c r="F73" s="5">
        <f>IF($B73="","",风险登记册!G56)</f>
        <v/>
      </c>
      <c r="G73" s="33">
        <f>IF($B73="","",风险登记册!Q56)</f>
        <v/>
      </c>
      <c r="H73" s="5">
        <f>IF($B73="","",风险登记册!R56)</f>
        <v/>
      </c>
      <c r="I73" s="33">
        <f>IF($B73="","",风险登记册!T56)</f>
        <v/>
      </c>
      <c r="J73" s="5">
        <f>IF($B73="","",风险登记册!U56)</f>
        <v/>
      </c>
      <c r="K73" s="5">
        <f>IF($B73="","",IF($J73="极高","每年必审",IF($J73="高","每年审计",IF($J73="中","两年一轮","按需抽查"))))</f>
        <v/>
      </c>
    </row>
    <row r="74">
      <c r="A74" s="5">
        <f>IF($B74="","",COUNTIFS(风险登记册!$F$4:$F$203,IF($B$2="全部","&lt;&gt;",$B$2),风险登记册!$T$4:$T$203,"&gt;"&amp;$I74)+COUNTIFS(风险登记册!$F$4:$F$203,IF($B$2="全部","&lt;&gt;",$B$2),风险登记册!$T$4:$T$203,$I74,风险登记册!$A$4:$A$203,"&lt;"&amp;$B74)+1)</f>
        <v/>
      </c>
      <c r="B74" s="5">
        <f>IF($B74="","",风险登记册!A57)</f>
        <v/>
      </c>
      <c r="C74" s="6">
        <f>IF($B74="","",风险登记册!B57)</f>
        <v/>
      </c>
      <c r="D74" s="6">
        <f>IF($B74="","",风险登记册!C57)</f>
        <v/>
      </c>
      <c r="E74" s="6">
        <f>IF($B74="","",风险登记册!E57)</f>
        <v/>
      </c>
      <c r="F74" s="5">
        <f>IF($B74="","",风险登记册!G57)</f>
        <v/>
      </c>
      <c r="G74" s="33">
        <f>IF($B74="","",风险登记册!Q57)</f>
        <v/>
      </c>
      <c r="H74" s="5">
        <f>IF($B74="","",风险登记册!R57)</f>
        <v/>
      </c>
      <c r="I74" s="33">
        <f>IF($B74="","",风险登记册!T57)</f>
        <v/>
      </c>
      <c r="J74" s="5">
        <f>IF($B74="","",风险登记册!U57)</f>
        <v/>
      </c>
      <c r="K74" s="5">
        <f>IF($B74="","",IF($J74="极高","每年必审",IF($J74="高","每年审计",IF($J74="中","两年一轮","按需抽查"))))</f>
        <v/>
      </c>
    </row>
    <row r="75">
      <c r="A75" s="5">
        <f>IF($B75="","",COUNTIFS(风险登记册!$F$4:$F$203,IF($B$2="全部","&lt;&gt;",$B$2),风险登记册!$T$4:$T$203,"&gt;"&amp;$I75)+COUNTIFS(风险登记册!$F$4:$F$203,IF($B$2="全部","&lt;&gt;",$B$2),风险登记册!$T$4:$T$203,$I75,风险登记册!$A$4:$A$203,"&lt;"&amp;$B75)+1)</f>
        <v/>
      </c>
      <c r="B75" s="5">
        <f>IF($B75="","",风险登记册!A58)</f>
        <v/>
      </c>
      <c r="C75" s="6">
        <f>IF($B75="","",风险登记册!B58)</f>
        <v/>
      </c>
      <c r="D75" s="6">
        <f>IF($B75="","",风险登记册!C58)</f>
        <v/>
      </c>
      <c r="E75" s="6">
        <f>IF($B75="","",风险登记册!E58)</f>
        <v/>
      </c>
      <c r="F75" s="5">
        <f>IF($B75="","",风险登记册!G58)</f>
        <v/>
      </c>
      <c r="G75" s="33">
        <f>IF($B75="","",风险登记册!Q58)</f>
        <v/>
      </c>
      <c r="H75" s="5">
        <f>IF($B75="","",风险登记册!R58)</f>
        <v/>
      </c>
      <c r="I75" s="33">
        <f>IF($B75="","",风险登记册!T58)</f>
        <v/>
      </c>
      <c r="J75" s="5">
        <f>IF($B75="","",风险登记册!U58)</f>
        <v/>
      </c>
      <c r="K75" s="5">
        <f>IF($B75="","",IF($J75="极高","每年必审",IF($J75="高","每年审计",IF($J75="中","两年一轮","按需抽查"))))</f>
        <v/>
      </c>
    </row>
    <row r="76">
      <c r="A76" s="5">
        <f>IF($B76="","",COUNTIFS(风险登记册!$F$4:$F$203,IF($B$2="全部","&lt;&gt;",$B$2),风险登记册!$T$4:$T$203,"&gt;"&amp;$I76)+COUNTIFS(风险登记册!$F$4:$F$203,IF($B$2="全部","&lt;&gt;",$B$2),风险登记册!$T$4:$T$203,$I76,风险登记册!$A$4:$A$203,"&lt;"&amp;$B76)+1)</f>
        <v/>
      </c>
      <c r="B76" s="5">
        <f>IF($B76="","",风险登记册!A59)</f>
        <v/>
      </c>
      <c r="C76" s="6">
        <f>IF($B76="","",风险登记册!B59)</f>
        <v/>
      </c>
      <c r="D76" s="6">
        <f>IF($B76="","",风险登记册!C59)</f>
        <v/>
      </c>
      <c r="E76" s="6">
        <f>IF($B76="","",风险登记册!E59)</f>
        <v/>
      </c>
      <c r="F76" s="5">
        <f>IF($B76="","",风险登记册!G59)</f>
        <v/>
      </c>
      <c r="G76" s="33">
        <f>IF($B76="","",风险登记册!Q59)</f>
        <v/>
      </c>
      <c r="H76" s="5">
        <f>IF($B76="","",风险登记册!R59)</f>
        <v/>
      </c>
      <c r="I76" s="33">
        <f>IF($B76="","",风险登记册!T59)</f>
        <v/>
      </c>
      <c r="J76" s="5">
        <f>IF($B76="","",风险登记册!U59)</f>
        <v/>
      </c>
      <c r="K76" s="5">
        <f>IF($B76="","",IF($J76="极高","每年必审",IF($J76="高","每年审计",IF($J76="中","两年一轮","按需抽查"))))</f>
        <v/>
      </c>
    </row>
    <row r="77">
      <c r="A77" s="5">
        <f>IF($B77="","",COUNTIFS(风险登记册!$F$4:$F$203,IF($B$2="全部","&lt;&gt;",$B$2),风险登记册!$T$4:$T$203,"&gt;"&amp;$I77)+COUNTIFS(风险登记册!$F$4:$F$203,IF($B$2="全部","&lt;&gt;",$B$2),风险登记册!$T$4:$T$203,$I77,风险登记册!$A$4:$A$203,"&lt;"&amp;$B77)+1)</f>
        <v/>
      </c>
      <c r="B77" s="5">
        <f>IF($B77="","",风险登记册!A60)</f>
        <v/>
      </c>
      <c r="C77" s="6">
        <f>IF($B77="","",风险登记册!B60)</f>
        <v/>
      </c>
      <c r="D77" s="6">
        <f>IF($B77="","",风险登记册!C60)</f>
        <v/>
      </c>
      <c r="E77" s="6">
        <f>IF($B77="","",风险登记册!E60)</f>
        <v/>
      </c>
      <c r="F77" s="5">
        <f>IF($B77="","",风险登记册!G60)</f>
        <v/>
      </c>
      <c r="G77" s="33">
        <f>IF($B77="","",风险登记册!Q60)</f>
        <v/>
      </c>
      <c r="H77" s="5">
        <f>IF($B77="","",风险登记册!R60)</f>
        <v/>
      </c>
      <c r="I77" s="33">
        <f>IF($B77="","",风险登记册!T60)</f>
        <v/>
      </c>
      <c r="J77" s="5">
        <f>IF($B77="","",风险登记册!U60)</f>
        <v/>
      </c>
      <c r="K77" s="5">
        <f>IF($B77="","",IF($J77="极高","每年必审",IF($J77="高","每年审计",IF($J77="中","两年一轮","按需抽查"))))</f>
        <v/>
      </c>
    </row>
    <row r="78">
      <c r="A78" s="5">
        <f>IF($B78="","",COUNTIFS(风险登记册!$F$4:$F$203,IF($B$2="全部","&lt;&gt;",$B$2),风险登记册!$T$4:$T$203,"&gt;"&amp;$I78)+COUNTIFS(风险登记册!$F$4:$F$203,IF($B$2="全部","&lt;&gt;",$B$2),风险登记册!$T$4:$T$203,$I78,风险登记册!$A$4:$A$203,"&lt;"&amp;$B78)+1)</f>
        <v/>
      </c>
      <c r="B78" s="5">
        <f>IF($B78="","",风险登记册!A61)</f>
        <v/>
      </c>
      <c r="C78" s="6">
        <f>IF($B78="","",风险登记册!B61)</f>
        <v/>
      </c>
      <c r="D78" s="6">
        <f>IF($B78="","",风险登记册!C61)</f>
        <v/>
      </c>
      <c r="E78" s="6">
        <f>IF($B78="","",风险登记册!E61)</f>
        <v/>
      </c>
      <c r="F78" s="5">
        <f>IF($B78="","",风险登记册!G61)</f>
        <v/>
      </c>
      <c r="G78" s="33">
        <f>IF($B78="","",风险登记册!Q61)</f>
        <v/>
      </c>
      <c r="H78" s="5">
        <f>IF($B78="","",风险登记册!R61)</f>
        <v/>
      </c>
      <c r="I78" s="33">
        <f>IF($B78="","",风险登记册!T61)</f>
        <v/>
      </c>
      <c r="J78" s="5">
        <f>IF($B78="","",风险登记册!U61)</f>
        <v/>
      </c>
      <c r="K78" s="5">
        <f>IF($B78="","",IF($J78="极高","每年必审",IF($J78="高","每年审计",IF($J78="中","两年一轮","按需抽查"))))</f>
        <v/>
      </c>
    </row>
    <row r="79">
      <c r="A79" s="5">
        <f>IF($B79="","",COUNTIFS(风险登记册!$F$4:$F$203,IF($B$2="全部","&lt;&gt;",$B$2),风险登记册!$T$4:$T$203,"&gt;"&amp;$I79)+COUNTIFS(风险登记册!$F$4:$F$203,IF($B$2="全部","&lt;&gt;",$B$2),风险登记册!$T$4:$T$203,$I79,风险登记册!$A$4:$A$203,"&lt;"&amp;$B79)+1)</f>
        <v/>
      </c>
      <c r="B79" s="5">
        <f>IF($B79="","",风险登记册!A62)</f>
        <v/>
      </c>
      <c r="C79" s="6">
        <f>IF($B79="","",风险登记册!B62)</f>
        <v/>
      </c>
      <c r="D79" s="6">
        <f>IF($B79="","",风险登记册!C62)</f>
        <v/>
      </c>
      <c r="E79" s="6">
        <f>IF($B79="","",风险登记册!E62)</f>
        <v/>
      </c>
      <c r="F79" s="5">
        <f>IF($B79="","",风险登记册!G62)</f>
        <v/>
      </c>
      <c r="G79" s="33">
        <f>IF($B79="","",风险登记册!Q62)</f>
        <v/>
      </c>
      <c r="H79" s="5">
        <f>IF($B79="","",风险登记册!R62)</f>
        <v/>
      </c>
      <c r="I79" s="33">
        <f>IF($B79="","",风险登记册!T62)</f>
        <v/>
      </c>
      <c r="J79" s="5">
        <f>IF($B79="","",风险登记册!U62)</f>
        <v/>
      </c>
      <c r="K79" s="5">
        <f>IF($B79="","",IF($J79="极高","每年必审",IF($J79="高","每年审计",IF($J79="中","两年一轮","按需抽查"))))</f>
        <v/>
      </c>
    </row>
    <row r="80">
      <c r="A80" s="5">
        <f>IF($B80="","",COUNTIFS(风险登记册!$F$4:$F$203,IF($B$2="全部","&lt;&gt;",$B$2),风险登记册!$T$4:$T$203,"&gt;"&amp;$I80)+COUNTIFS(风险登记册!$F$4:$F$203,IF($B$2="全部","&lt;&gt;",$B$2),风险登记册!$T$4:$T$203,$I80,风险登记册!$A$4:$A$203,"&lt;"&amp;$B80)+1)</f>
        <v/>
      </c>
      <c r="B80" s="5">
        <f>IF($B80="","",风险登记册!A63)</f>
        <v/>
      </c>
      <c r="C80" s="6">
        <f>IF($B80="","",风险登记册!B63)</f>
        <v/>
      </c>
      <c r="D80" s="6">
        <f>IF($B80="","",风险登记册!C63)</f>
        <v/>
      </c>
      <c r="E80" s="6">
        <f>IF($B80="","",风险登记册!E63)</f>
        <v/>
      </c>
      <c r="F80" s="5">
        <f>IF($B80="","",风险登记册!G63)</f>
        <v/>
      </c>
      <c r="G80" s="33">
        <f>IF($B80="","",风险登记册!Q63)</f>
        <v/>
      </c>
      <c r="H80" s="5">
        <f>IF($B80="","",风险登记册!R63)</f>
        <v/>
      </c>
      <c r="I80" s="33">
        <f>IF($B80="","",风险登记册!T63)</f>
        <v/>
      </c>
      <c r="J80" s="5">
        <f>IF($B80="","",风险登记册!U63)</f>
        <v/>
      </c>
      <c r="K80" s="5">
        <f>IF($B80="","",IF($J80="极高","每年必审",IF($J80="高","每年审计",IF($J80="中","两年一轮","按需抽查"))))</f>
        <v/>
      </c>
    </row>
    <row r="81">
      <c r="A81" s="5">
        <f>IF($B81="","",COUNTIFS(风险登记册!$F$4:$F$203,IF($B$2="全部","&lt;&gt;",$B$2),风险登记册!$T$4:$T$203,"&gt;"&amp;$I81)+COUNTIFS(风险登记册!$F$4:$F$203,IF($B$2="全部","&lt;&gt;",$B$2),风险登记册!$T$4:$T$203,$I81,风险登记册!$A$4:$A$203,"&lt;"&amp;$B81)+1)</f>
        <v/>
      </c>
      <c r="B81" s="5">
        <f>IF($B81="","",风险登记册!A64)</f>
        <v/>
      </c>
      <c r="C81" s="6">
        <f>IF($B81="","",风险登记册!B64)</f>
        <v/>
      </c>
      <c r="D81" s="6">
        <f>IF($B81="","",风险登记册!C64)</f>
        <v/>
      </c>
      <c r="E81" s="6">
        <f>IF($B81="","",风险登记册!E64)</f>
        <v/>
      </c>
      <c r="F81" s="5">
        <f>IF($B81="","",风险登记册!G64)</f>
        <v/>
      </c>
      <c r="G81" s="33">
        <f>IF($B81="","",风险登记册!Q64)</f>
        <v/>
      </c>
      <c r="H81" s="5">
        <f>IF($B81="","",风险登记册!R64)</f>
        <v/>
      </c>
      <c r="I81" s="33">
        <f>IF($B81="","",风险登记册!T64)</f>
        <v/>
      </c>
      <c r="J81" s="5">
        <f>IF($B81="","",风险登记册!U64)</f>
        <v/>
      </c>
      <c r="K81" s="5">
        <f>IF($B81="","",IF($J81="极高","每年必审",IF($J81="高","每年审计",IF($J81="中","两年一轮","按需抽查"))))</f>
        <v/>
      </c>
    </row>
    <row r="82">
      <c r="A82" s="5">
        <f>IF($B82="","",COUNTIFS(风险登记册!$F$4:$F$203,IF($B$2="全部","&lt;&gt;",$B$2),风险登记册!$T$4:$T$203,"&gt;"&amp;$I82)+COUNTIFS(风险登记册!$F$4:$F$203,IF($B$2="全部","&lt;&gt;",$B$2),风险登记册!$T$4:$T$203,$I82,风险登记册!$A$4:$A$203,"&lt;"&amp;$B82)+1)</f>
        <v/>
      </c>
      <c r="B82" s="5">
        <f>IF($B82="","",风险登记册!A65)</f>
        <v/>
      </c>
      <c r="C82" s="6">
        <f>IF($B82="","",风险登记册!B65)</f>
        <v/>
      </c>
      <c r="D82" s="6">
        <f>IF($B82="","",风险登记册!C65)</f>
        <v/>
      </c>
      <c r="E82" s="6">
        <f>IF($B82="","",风险登记册!E65)</f>
        <v/>
      </c>
      <c r="F82" s="5">
        <f>IF($B82="","",风险登记册!G65)</f>
        <v/>
      </c>
      <c r="G82" s="33">
        <f>IF($B82="","",风险登记册!Q65)</f>
        <v/>
      </c>
      <c r="H82" s="5">
        <f>IF($B82="","",风险登记册!R65)</f>
        <v/>
      </c>
      <c r="I82" s="33">
        <f>IF($B82="","",风险登记册!T65)</f>
        <v/>
      </c>
      <c r="J82" s="5">
        <f>IF($B82="","",风险登记册!U65)</f>
        <v/>
      </c>
      <c r="K82" s="5">
        <f>IF($B82="","",IF($J82="极高","每年必审",IF($J82="高","每年审计",IF($J82="中","两年一轮","按需抽查"))))</f>
        <v/>
      </c>
    </row>
    <row r="83">
      <c r="A83" s="5">
        <f>IF($B83="","",COUNTIFS(风险登记册!$F$4:$F$203,IF($B$2="全部","&lt;&gt;",$B$2),风险登记册!$T$4:$T$203,"&gt;"&amp;$I83)+COUNTIFS(风险登记册!$F$4:$F$203,IF($B$2="全部","&lt;&gt;",$B$2),风险登记册!$T$4:$T$203,$I83,风险登记册!$A$4:$A$203,"&lt;"&amp;$B83)+1)</f>
        <v/>
      </c>
      <c r="B83" s="5">
        <f>IF($B83="","",风险登记册!A66)</f>
        <v/>
      </c>
      <c r="C83" s="6">
        <f>IF($B83="","",风险登记册!B66)</f>
        <v/>
      </c>
      <c r="D83" s="6">
        <f>IF($B83="","",风险登记册!C66)</f>
        <v/>
      </c>
      <c r="E83" s="6">
        <f>IF($B83="","",风险登记册!E66)</f>
        <v/>
      </c>
      <c r="F83" s="5">
        <f>IF($B83="","",风险登记册!G66)</f>
        <v/>
      </c>
      <c r="G83" s="33">
        <f>IF($B83="","",风险登记册!Q66)</f>
        <v/>
      </c>
      <c r="H83" s="5">
        <f>IF($B83="","",风险登记册!R66)</f>
        <v/>
      </c>
      <c r="I83" s="33">
        <f>IF($B83="","",风险登记册!T66)</f>
        <v/>
      </c>
      <c r="J83" s="5">
        <f>IF($B83="","",风险登记册!U66)</f>
        <v/>
      </c>
      <c r="K83" s="5">
        <f>IF($B83="","",IF($J83="极高","每年必审",IF($J83="高","每年审计",IF($J83="中","两年一轮","按需抽查"))))</f>
        <v/>
      </c>
    </row>
    <row r="84">
      <c r="A84" s="5">
        <f>IF($B84="","",COUNTIFS(风险登记册!$F$4:$F$203,IF($B$2="全部","&lt;&gt;",$B$2),风险登记册!$T$4:$T$203,"&gt;"&amp;$I84)+COUNTIFS(风险登记册!$F$4:$F$203,IF($B$2="全部","&lt;&gt;",$B$2),风险登记册!$T$4:$T$203,$I84,风险登记册!$A$4:$A$203,"&lt;"&amp;$B84)+1)</f>
        <v/>
      </c>
      <c r="B84" s="5">
        <f>IF($B84="","",风险登记册!A67)</f>
        <v/>
      </c>
      <c r="C84" s="6">
        <f>IF($B84="","",风险登记册!B67)</f>
        <v/>
      </c>
      <c r="D84" s="6">
        <f>IF($B84="","",风险登记册!C67)</f>
        <v/>
      </c>
      <c r="E84" s="6">
        <f>IF($B84="","",风险登记册!E67)</f>
        <v/>
      </c>
      <c r="F84" s="5">
        <f>IF($B84="","",风险登记册!G67)</f>
        <v/>
      </c>
      <c r="G84" s="33">
        <f>IF($B84="","",风险登记册!Q67)</f>
        <v/>
      </c>
      <c r="H84" s="5">
        <f>IF($B84="","",风险登记册!R67)</f>
        <v/>
      </c>
      <c r="I84" s="33">
        <f>IF($B84="","",风险登记册!T67)</f>
        <v/>
      </c>
      <c r="J84" s="5">
        <f>IF($B84="","",风险登记册!U67)</f>
        <v/>
      </c>
      <c r="K84" s="5">
        <f>IF($B84="","",IF($J84="极高","每年必审",IF($J84="高","每年审计",IF($J84="中","两年一轮","按需抽查"))))</f>
        <v/>
      </c>
    </row>
    <row r="85">
      <c r="A85" s="5">
        <f>IF($B85="","",COUNTIFS(风险登记册!$F$4:$F$203,IF($B$2="全部","&lt;&gt;",$B$2),风险登记册!$T$4:$T$203,"&gt;"&amp;$I85)+COUNTIFS(风险登记册!$F$4:$F$203,IF($B$2="全部","&lt;&gt;",$B$2),风险登记册!$T$4:$T$203,$I85,风险登记册!$A$4:$A$203,"&lt;"&amp;$B85)+1)</f>
        <v/>
      </c>
      <c r="B85" s="5">
        <f>IF($B85="","",风险登记册!A68)</f>
        <v/>
      </c>
      <c r="C85" s="6">
        <f>IF($B85="","",风险登记册!B68)</f>
        <v/>
      </c>
      <c r="D85" s="6">
        <f>IF($B85="","",风险登记册!C68)</f>
        <v/>
      </c>
      <c r="E85" s="6">
        <f>IF($B85="","",风险登记册!E68)</f>
        <v/>
      </c>
      <c r="F85" s="5">
        <f>IF($B85="","",风险登记册!G68)</f>
        <v/>
      </c>
      <c r="G85" s="33">
        <f>IF($B85="","",风险登记册!Q68)</f>
        <v/>
      </c>
      <c r="H85" s="5">
        <f>IF($B85="","",风险登记册!R68)</f>
        <v/>
      </c>
      <c r="I85" s="33">
        <f>IF($B85="","",风险登记册!T68)</f>
        <v/>
      </c>
      <c r="J85" s="5">
        <f>IF($B85="","",风险登记册!U68)</f>
        <v/>
      </c>
      <c r="K85" s="5">
        <f>IF($B85="","",IF($J85="极高","每年必审",IF($J85="高","每年审计",IF($J85="中","两年一轮","按需抽查"))))</f>
        <v/>
      </c>
    </row>
    <row r="86">
      <c r="A86" s="5">
        <f>IF($B86="","",COUNTIFS(风险登记册!$F$4:$F$203,IF($B$2="全部","&lt;&gt;",$B$2),风险登记册!$T$4:$T$203,"&gt;"&amp;$I86)+COUNTIFS(风险登记册!$F$4:$F$203,IF($B$2="全部","&lt;&gt;",$B$2),风险登记册!$T$4:$T$203,$I86,风险登记册!$A$4:$A$203,"&lt;"&amp;$B86)+1)</f>
        <v/>
      </c>
      <c r="B86" s="5">
        <f>IF($B86="","",风险登记册!A69)</f>
        <v/>
      </c>
      <c r="C86" s="6">
        <f>IF($B86="","",风险登记册!B69)</f>
        <v/>
      </c>
      <c r="D86" s="6">
        <f>IF($B86="","",风险登记册!C69)</f>
        <v/>
      </c>
      <c r="E86" s="6">
        <f>IF($B86="","",风险登记册!E69)</f>
        <v/>
      </c>
      <c r="F86" s="5">
        <f>IF($B86="","",风险登记册!G69)</f>
        <v/>
      </c>
      <c r="G86" s="33">
        <f>IF($B86="","",风险登记册!Q69)</f>
        <v/>
      </c>
      <c r="H86" s="5">
        <f>IF($B86="","",风险登记册!R69)</f>
        <v/>
      </c>
      <c r="I86" s="33">
        <f>IF($B86="","",风险登记册!T69)</f>
        <v/>
      </c>
      <c r="J86" s="5">
        <f>IF($B86="","",风险登记册!U69)</f>
        <v/>
      </c>
      <c r="K86" s="5">
        <f>IF($B86="","",IF($J86="极高","每年必审",IF($J86="高","每年审计",IF($J86="中","两年一轮","按需抽查"))))</f>
        <v/>
      </c>
    </row>
    <row r="87">
      <c r="A87" s="5">
        <f>IF($B87="","",COUNTIFS(风险登记册!$F$4:$F$203,IF($B$2="全部","&lt;&gt;",$B$2),风险登记册!$T$4:$T$203,"&gt;"&amp;$I87)+COUNTIFS(风险登记册!$F$4:$F$203,IF($B$2="全部","&lt;&gt;",$B$2),风险登记册!$T$4:$T$203,$I87,风险登记册!$A$4:$A$203,"&lt;"&amp;$B87)+1)</f>
        <v/>
      </c>
      <c r="B87" s="5">
        <f>IF($B87="","",风险登记册!A70)</f>
        <v/>
      </c>
      <c r="C87" s="6">
        <f>IF($B87="","",风险登记册!B70)</f>
        <v/>
      </c>
      <c r="D87" s="6">
        <f>IF($B87="","",风险登记册!C70)</f>
        <v/>
      </c>
      <c r="E87" s="6">
        <f>IF($B87="","",风险登记册!E70)</f>
        <v/>
      </c>
      <c r="F87" s="5">
        <f>IF($B87="","",风险登记册!G70)</f>
        <v/>
      </c>
      <c r="G87" s="33">
        <f>IF($B87="","",风险登记册!Q70)</f>
        <v/>
      </c>
      <c r="H87" s="5">
        <f>IF($B87="","",风险登记册!R70)</f>
        <v/>
      </c>
      <c r="I87" s="33">
        <f>IF($B87="","",风险登记册!T70)</f>
        <v/>
      </c>
      <c r="J87" s="5">
        <f>IF($B87="","",风险登记册!U70)</f>
        <v/>
      </c>
      <c r="K87" s="5">
        <f>IF($B87="","",IF($J87="极高","每年必审",IF($J87="高","每年审计",IF($J87="中","两年一轮","按需抽查"))))</f>
        <v/>
      </c>
    </row>
    <row r="88">
      <c r="A88" s="5">
        <f>IF($B88="","",COUNTIFS(风险登记册!$F$4:$F$203,IF($B$2="全部","&lt;&gt;",$B$2),风险登记册!$T$4:$T$203,"&gt;"&amp;$I88)+COUNTIFS(风险登记册!$F$4:$F$203,IF($B$2="全部","&lt;&gt;",$B$2),风险登记册!$T$4:$T$203,$I88,风险登记册!$A$4:$A$203,"&lt;"&amp;$B88)+1)</f>
        <v/>
      </c>
      <c r="B88" s="5">
        <f>IF($B88="","",风险登记册!A71)</f>
        <v/>
      </c>
      <c r="C88" s="6">
        <f>IF($B88="","",风险登记册!B71)</f>
        <v/>
      </c>
      <c r="D88" s="6">
        <f>IF($B88="","",风险登记册!C71)</f>
        <v/>
      </c>
      <c r="E88" s="6">
        <f>IF($B88="","",风险登记册!E71)</f>
        <v/>
      </c>
      <c r="F88" s="5">
        <f>IF($B88="","",风险登记册!G71)</f>
        <v/>
      </c>
      <c r="G88" s="33">
        <f>IF($B88="","",风险登记册!Q71)</f>
        <v/>
      </c>
      <c r="H88" s="5">
        <f>IF($B88="","",风险登记册!R71)</f>
        <v/>
      </c>
      <c r="I88" s="33">
        <f>IF($B88="","",风险登记册!T71)</f>
        <v/>
      </c>
      <c r="J88" s="5">
        <f>IF($B88="","",风险登记册!U71)</f>
        <v/>
      </c>
      <c r="K88" s="5">
        <f>IF($B88="","",IF($J88="极高","每年必审",IF($J88="高","每年审计",IF($J88="中","两年一轮","按需抽查"))))</f>
        <v/>
      </c>
    </row>
    <row r="89">
      <c r="A89" s="5">
        <f>IF($B89="","",COUNTIFS(风险登记册!$F$4:$F$203,IF($B$2="全部","&lt;&gt;",$B$2),风险登记册!$T$4:$T$203,"&gt;"&amp;$I89)+COUNTIFS(风险登记册!$F$4:$F$203,IF($B$2="全部","&lt;&gt;",$B$2),风险登记册!$T$4:$T$203,$I89,风险登记册!$A$4:$A$203,"&lt;"&amp;$B89)+1)</f>
        <v/>
      </c>
      <c r="B89" s="5">
        <f>IF($B89="","",风险登记册!A72)</f>
        <v/>
      </c>
      <c r="C89" s="6">
        <f>IF($B89="","",风险登记册!B72)</f>
        <v/>
      </c>
      <c r="D89" s="6">
        <f>IF($B89="","",风险登记册!C72)</f>
        <v/>
      </c>
      <c r="E89" s="6">
        <f>IF($B89="","",风险登记册!E72)</f>
        <v/>
      </c>
      <c r="F89" s="5">
        <f>IF($B89="","",风险登记册!G72)</f>
        <v/>
      </c>
      <c r="G89" s="33">
        <f>IF($B89="","",风险登记册!Q72)</f>
        <v/>
      </c>
      <c r="H89" s="5">
        <f>IF($B89="","",风险登记册!R72)</f>
        <v/>
      </c>
      <c r="I89" s="33">
        <f>IF($B89="","",风险登记册!T72)</f>
        <v/>
      </c>
      <c r="J89" s="5">
        <f>IF($B89="","",风险登记册!U72)</f>
        <v/>
      </c>
      <c r="K89" s="5">
        <f>IF($B89="","",IF($J89="极高","每年必审",IF($J89="高","每年审计",IF($J89="中","两年一轮","按需抽查"))))</f>
        <v/>
      </c>
    </row>
    <row r="90">
      <c r="A90" s="5">
        <f>IF($B90="","",COUNTIFS(风险登记册!$F$4:$F$203,IF($B$2="全部","&lt;&gt;",$B$2),风险登记册!$T$4:$T$203,"&gt;"&amp;$I90)+COUNTIFS(风险登记册!$F$4:$F$203,IF($B$2="全部","&lt;&gt;",$B$2),风险登记册!$T$4:$T$203,$I90,风险登记册!$A$4:$A$203,"&lt;"&amp;$B90)+1)</f>
        <v/>
      </c>
      <c r="B90" s="5">
        <f>IF($B90="","",风险登记册!A73)</f>
        <v/>
      </c>
      <c r="C90" s="6">
        <f>IF($B90="","",风险登记册!B73)</f>
        <v/>
      </c>
      <c r="D90" s="6">
        <f>IF($B90="","",风险登记册!C73)</f>
        <v/>
      </c>
      <c r="E90" s="6">
        <f>IF($B90="","",风险登记册!E73)</f>
        <v/>
      </c>
      <c r="F90" s="5">
        <f>IF($B90="","",风险登记册!G73)</f>
        <v/>
      </c>
      <c r="G90" s="33">
        <f>IF($B90="","",风险登记册!Q73)</f>
        <v/>
      </c>
      <c r="H90" s="5">
        <f>IF($B90="","",风险登记册!R73)</f>
        <v/>
      </c>
      <c r="I90" s="33">
        <f>IF($B90="","",风险登记册!T73)</f>
        <v/>
      </c>
      <c r="J90" s="5">
        <f>IF($B90="","",风险登记册!U73)</f>
        <v/>
      </c>
      <c r="K90" s="5">
        <f>IF($B90="","",IF($J90="极高","每年必审",IF($J90="高","每年审计",IF($J90="中","两年一轮","按需抽查"))))</f>
        <v/>
      </c>
    </row>
    <row r="91">
      <c r="A91" s="5">
        <f>IF($B91="","",COUNTIFS(风险登记册!$F$4:$F$203,IF($B$2="全部","&lt;&gt;",$B$2),风险登记册!$T$4:$T$203,"&gt;"&amp;$I91)+COUNTIFS(风险登记册!$F$4:$F$203,IF($B$2="全部","&lt;&gt;",$B$2),风险登记册!$T$4:$T$203,$I91,风险登记册!$A$4:$A$203,"&lt;"&amp;$B91)+1)</f>
        <v/>
      </c>
      <c r="B91" s="5">
        <f>IF($B91="","",风险登记册!A74)</f>
        <v/>
      </c>
      <c r="C91" s="6">
        <f>IF($B91="","",风险登记册!B74)</f>
        <v/>
      </c>
      <c r="D91" s="6">
        <f>IF($B91="","",风险登记册!C74)</f>
        <v/>
      </c>
      <c r="E91" s="6">
        <f>IF($B91="","",风险登记册!E74)</f>
        <v/>
      </c>
      <c r="F91" s="5">
        <f>IF($B91="","",风险登记册!G74)</f>
        <v/>
      </c>
      <c r="G91" s="33">
        <f>IF($B91="","",风险登记册!Q74)</f>
        <v/>
      </c>
      <c r="H91" s="5">
        <f>IF($B91="","",风险登记册!R74)</f>
        <v/>
      </c>
      <c r="I91" s="33">
        <f>IF($B91="","",风险登记册!T74)</f>
        <v/>
      </c>
      <c r="J91" s="5">
        <f>IF($B91="","",风险登记册!U74)</f>
        <v/>
      </c>
      <c r="K91" s="5">
        <f>IF($B91="","",IF($J91="极高","每年必审",IF($J91="高","每年审计",IF($J91="中","两年一轮","按需抽查"))))</f>
        <v/>
      </c>
    </row>
    <row r="92">
      <c r="A92" s="5">
        <f>IF($B92="","",COUNTIFS(风险登记册!$F$4:$F$203,IF($B$2="全部","&lt;&gt;",$B$2),风险登记册!$T$4:$T$203,"&gt;"&amp;$I92)+COUNTIFS(风险登记册!$F$4:$F$203,IF($B$2="全部","&lt;&gt;",$B$2),风险登记册!$T$4:$T$203,$I92,风险登记册!$A$4:$A$203,"&lt;"&amp;$B92)+1)</f>
        <v/>
      </c>
      <c r="B92" s="5">
        <f>IF($B92="","",风险登记册!A75)</f>
        <v/>
      </c>
      <c r="C92" s="6">
        <f>IF($B92="","",风险登记册!B75)</f>
        <v/>
      </c>
      <c r="D92" s="6">
        <f>IF($B92="","",风险登记册!C75)</f>
        <v/>
      </c>
      <c r="E92" s="6">
        <f>IF($B92="","",风险登记册!E75)</f>
        <v/>
      </c>
      <c r="F92" s="5">
        <f>IF($B92="","",风险登记册!G75)</f>
        <v/>
      </c>
      <c r="G92" s="33">
        <f>IF($B92="","",风险登记册!Q75)</f>
        <v/>
      </c>
      <c r="H92" s="5">
        <f>IF($B92="","",风险登记册!R75)</f>
        <v/>
      </c>
      <c r="I92" s="33">
        <f>IF($B92="","",风险登记册!T75)</f>
        <v/>
      </c>
      <c r="J92" s="5">
        <f>IF($B92="","",风险登记册!U75)</f>
        <v/>
      </c>
      <c r="K92" s="5">
        <f>IF($B92="","",IF($J92="极高","每年必审",IF($J92="高","每年审计",IF($J92="中","两年一轮","按需抽查"))))</f>
        <v/>
      </c>
    </row>
    <row r="93">
      <c r="A93" s="5">
        <f>IF($B93="","",COUNTIFS(风险登记册!$F$4:$F$203,IF($B$2="全部","&lt;&gt;",$B$2),风险登记册!$T$4:$T$203,"&gt;"&amp;$I93)+COUNTIFS(风险登记册!$F$4:$F$203,IF($B$2="全部","&lt;&gt;",$B$2),风险登记册!$T$4:$T$203,$I93,风险登记册!$A$4:$A$203,"&lt;"&amp;$B93)+1)</f>
        <v/>
      </c>
      <c r="B93" s="5">
        <f>IF($B93="","",风险登记册!A76)</f>
        <v/>
      </c>
      <c r="C93" s="6">
        <f>IF($B93="","",风险登记册!B76)</f>
        <v/>
      </c>
      <c r="D93" s="6">
        <f>IF($B93="","",风险登记册!C76)</f>
        <v/>
      </c>
      <c r="E93" s="6">
        <f>IF($B93="","",风险登记册!E76)</f>
        <v/>
      </c>
      <c r="F93" s="5">
        <f>IF($B93="","",风险登记册!G76)</f>
        <v/>
      </c>
      <c r="G93" s="33">
        <f>IF($B93="","",风险登记册!Q76)</f>
        <v/>
      </c>
      <c r="H93" s="5">
        <f>IF($B93="","",风险登记册!R76)</f>
        <v/>
      </c>
      <c r="I93" s="33">
        <f>IF($B93="","",风险登记册!T76)</f>
        <v/>
      </c>
      <c r="J93" s="5">
        <f>IF($B93="","",风险登记册!U76)</f>
        <v/>
      </c>
      <c r="K93" s="5">
        <f>IF($B93="","",IF($J93="极高","每年必审",IF($J93="高","每年审计",IF($J93="中","两年一轮","按需抽查"))))</f>
        <v/>
      </c>
    </row>
    <row r="94">
      <c r="A94" s="5">
        <f>IF($B94="","",COUNTIFS(风险登记册!$F$4:$F$203,IF($B$2="全部","&lt;&gt;",$B$2),风险登记册!$T$4:$T$203,"&gt;"&amp;$I94)+COUNTIFS(风险登记册!$F$4:$F$203,IF($B$2="全部","&lt;&gt;",$B$2),风险登记册!$T$4:$T$203,$I94,风险登记册!$A$4:$A$203,"&lt;"&amp;$B94)+1)</f>
        <v/>
      </c>
      <c r="B94" s="5">
        <f>IF($B94="","",风险登记册!A77)</f>
        <v/>
      </c>
      <c r="C94" s="6">
        <f>IF($B94="","",风险登记册!B77)</f>
        <v/>
      </c>
      <c r="D94" s="6">
        <f>IF($B94="","",风险登记册!C77)</f>
        <v/>
      </c>
      <c r="E94" s="6">
        <f>IF($B94="","",风险登记册!E77)</f>
        <v/>
      </c>
      <c r="F94" s="5">
        <f>IF($B94="","",风险登记册!G77)</f>
        <v/>
      </c>
      <c r="G94" s="33">
        <f>IF($B94="","",风险登记册!Q77)</f>
        <v/>
      </c>
      <c r="H94" s="5">
        <f>IF($B94="","",风险登记册!R77)</f>
        <v/>
      </c>
      <c r="I94" s="33">
        <f>IF($B94="","",风险登记册!T77)</f>
        <v/>
      </c>
      <c r="J94" s="5">
        <f>IF($B94="","",风险登记册!U77)</f>
        <v/>
      </c>
      <c r="K94" s="5">
        <f>IF($B94="","",IF($J94="极高","每年必审",IF($J94="高","每年审计",IF($J94="中","两年一轮","按需抽查"))))</f>
        <v/>
      </c>
    </row>
    <row r="95">
      <c r="A95" s="5">
        <f>IF($B95="","",COUNTIFS(风险登记册!$F$4:$F$203,IF($B$2="全部","&lt;&gt;",$B$2),风险登记册!$T$4:$T$203,"&gt;"&amp;$I95)+COUNTIFS(风险登记册!$F$4:$F$203,IF($B$2="全部","&lt;&gt;",$B$2),风险登记册!$T$4:$T$203,$I95,风险登记册!$A$4:$A$203,"&lt;"&amp;$B95)+1)</f>
        <v/>
      </c>
      <c r="B95" s="5">
        <f>IF($B95="","",风险登记册!A78)</f>
        <v/>
      </c>
      <c r="C95" s="6">
        <f>IF($B95="","",风险登记册!B78)</f>
        <v/>
      </c>
      <c r="D95" s="6">
        <f>IF($B95="","",风险登记册!C78)</f>
        <v/>
      </c>
      <c r="E95" s="6">
        <f>IF($B95="","",风险登记册!E78)</f>
        <v/>
      </c>
      <c r="F95" s="5">
        <f>IF($B95="","",风险登记册!G78)</f>
        <v/>
      </c>
      <c r="G95" s="33">
        <f>IF($B95="","",风险登记册!Q78)</f>
        <v/>
      </c>
      <c r="H95" s="5">
        <f>IF($B95="","",风险登记册!R78)</f>
        <v/>
      </c>
      <c r="I95" s="33">
        <f>IF($B95="","",风险登记册!T78)</f>
        <v/>
      </c>
      <c r="J95" s="5">
        <f>IF($B95="","",风险登记册!U78)</f>
        <v/>
      </c>
      <c r="K95" s="5">
        <f>IF($B95="","",IF($J95="极高","每年必审",IF($J95="高","每年审计",IF($J95="中","两年一轮","按需抽查"))))</f>
        <v/>
      </c>
    </row>
    <row r="96">
      <c r="A96" s="5">
        <f>IF($B96="","",COUNTIFS(风险登记册!$F$4:$F$203,IF($B$2="全部","&lt;&gt;",$B$2),风险登记册!$T$4:$T$203,"&gt;"&amp;$I96)+COUNTIFS(风险登记册!$F$4:$F$203,IF($B$2="全部","&lt;&gt;",$B$2),风险登记册!$T$4:$T$203,$I96,风险登记册!$A$4:$A$203,"&lt;"&amp;$B96)+1)</f>
        <v/>
      </c>
      <c r="B96" s="5">
        <f>IF($B96="","",风险登记册!A79)</f>
        <v/>
      </c>
      <c r="C96" s="6">
        <f>IF($B96="","",风险登记册!B79)</f>
        <v/>
      </c>
      <c r="D96" s="6">
        <f>IF($B96="","",风险登记册!C79)</f>
        <v/>
      </c>
      <c r="E96" s="6">
        <f>IF($B96="","",风险登记册!E79)</f>
        <v/>
      </c>
      <c r="F96" s="5">
        <f>IF($B96="","",风险登记册!G79)</f>
        <v/>
      </c>
      <c r="G96" s="33">
        <f>IF($B96="","",风险登记册!Q79)</f>
        <v/>
      </c>
      <c r="H96" s="5">
        <f>IF($B96="","",风险登记册!R79)</f>
        <v/>
      </c>
      <c r="I96" s="33">
        <f>IF($B96="","",风险登记册!T79)</f>
        <v/>
      </c>
      <c r="J96" s="5">
        <f>IF($B96="","",风险登记册!U79)</f>
        <v/>
      </c>
      <c r="K96" s="5">
        <f>IF($B96="","",IF($J96="极高","每年必审",IF($J96="高","每年审计",IF($J96="中","两年一轮","按需抽查"))))</f>
        <v/>
      </c>
    </row>
    <row r="97">
      <c r="A97" s="5">
        <f>IF($B97="","",COUNTIFS(风险登记册!$F$4:$F$203,IF($B$2="全部","&lt;&gt;",$B$2),风险登记册!$T$4:$T$203,"&gt;"&amp;$I97)+COUNTIFS(风险登记册!$F$4:$F$203,IF($B$2="全部","&lt;&gt;",$B$2),风险登记册!$T$4:$T$203,$I97,风险登记册!$A$4:$A$203,"&lt;"&amp;$B97)+1)</f>
        <v/>
      </c>
      <c r="B97" s="5">
        <f>IF($B97="","",风险登记册!A80)</f>
        <v/>
      </c>
      <c r="C97" s="6">
        <f>IF($B97="","",风险登记册!B80)</f>
        <v/>
      </c>
      <c r="D97" s="6">
        <f>IF($B97="","",风险登记册!C80)</f>
        <v/>
      </c>
      <c r="E97" s="6">
        <f>IF($B97="","",风险登记册!E80)</f>
        <v/>
      </c>
      <c r="F97" s="5">
        <f>IF($B97="","",风险登记册!G80)</f>
        <v/>
      </c>
      <c r="G97" s="33">
        <f>IF($B97="","",风险登记册!Q80)</f>
        <v/>
      </c>
      <c r="H97" s="5">
        <f>IF($B97="","",风险登记册!R80)</f>
        <v/>
      </c>
      <c r="I97" s="33">
        <f>IF($B97="","",风险登记册!T80)</f>
        <v/>
      </c>
      <c r="J97" s="5">
        <f>IF($B97="","",风险登记册!U80)</f>
        <v/>
      </c>
      <c r="K97" s="5">
        <f>IF($B97="","",IF($J97="极高","每年必审",IF($J97="高","每年审计",IF($J97="中","两年一轮","按需抽查"))))</f>
        <v/>
      </c>
    </row>
    <row r="98">
      <c r="A98" s="5">
        <f>IF($B98="","",COUNTIFS(风险登记册!$F$4:$F$203,IF($B$2="全部","&lt;&gt;",$B$2),风险登记册!$T$4:$T$203,"&gt;"&amp;$I98)+COUNTIFS(风险登记册!$F$4:$F$203,IF($B$2="全部","&lt;&gt;",$B$2),风险登记册!$T$4:$T$203,$I98,风险登记册!$A$4:$A$203,"&lt;"&amp;$B98)+1)</f>
        <v/>
      </c>
      <c r="B98" s="5">
        <f>IF($B98="","",风险登记册!A81)</f>
        <v/>
      </c>
      <c r="C98" s="6">
        <f>IF($B98="","",风险登记册!B81)</f>
        <v/>
      </c>
      <c r="D98" s="6">
        <f>IF($B98="","",风险登记册!C81)</f>
        <v/>
      </c>
      <c r="E98" s="6">
        <f>IF($B98="","",风险登记册!E81)</f>
        <v/>
      </c>
      <c r="F98" s="5">
        <f>IF($B98="","",风险登记册!G81)</f>
        <v/>
      </c>
      <c r="G98" s="33">
        <f>IF($B98="","",风险登记册!Q81)</f>
        <v/>
      </c>
      <c r="H98" s="5">
        <f>IF($B98="","",风险登记册!R81)</f>
        <v/>
      </c>
      <c r="I98" s="33">
        <f>IF($B98="","",风险登记册!T81)</f>
        <v/>
      </c>
      <c r="J98" s="5">
        <f>IF($B98="","",风险登记册!U81)</f>
        <v/>
      </c>
      <c r="K98" s="5">
        <f>IF($B98="","",IF($J98="极高","每年必审",IF($J98="高","每年审计",IF($J98="中","两年一轮","按需抽查"))))</f>
        <v/>
      </c>
    </row>
    <row r="99">
      <c r="A99" s="5">
        <f>IF($B99="","",COUNTIFS(风险登记册!$F$4:$F$203,IF($B$2="全部","&lt;&gt;",$B$2),风险登记册!$T$4:$T$203,"&gt;"&amp;$I99)+COUNTIFS(风险登记册!$F$4:$F$203,IF($B$2="全部","&lt;&gt;",$B$2),风险登记册!$T$4:$T$203,$I99,风险登记册!$A$4:$A$203,"&lt;"&amp;$B99)+1)</f>
        <v/>
      </c>
      <c r="B99" s="5">
        <f>IF($B99="","",风险登记册!A82)</f>
        <v/>
      </c>
      <c r="C99" s="6">
        <f>IF($B99="","",风险登记册!B82)</f>
        <v/>
      </c>
      <c r="D99" s="6">
        <f>IF($B99="","",风险登记册!C82)</f>
        <v/>
      </c>
      <c r="E99" s="6">
        <f>IF($B99="","",风险登记册!E82)</f>
        <v/>
      </c>
      <c r="F99" s="5">
        <f>IF($B99="","",风险登记册!G82)</f>
        <v/>
      </c>
      <c r="G99" s="33">
        <f>IF($B99="","",风险登记册!Q82)</f>
        <v/>
      </c>
      <c r="H99" s="5">
        <f>IF($B99="","",风险登记册!R82)</f>
        <v/>
      </c>
      <c r="I99" s="33">
        <f>IF($B99="","",风险登记册!T82)</f>
        <v/>
      </c>
      <c r="J99" s="5">
        <f>IF($B99="","",风险登记册!U82)</f>
        <v/>
      </c>
      <c r="K99" s="5">
        <f>IF($B99="","",IF($J99="极高","每年必审",IF($J99="高","每年审计",IF($J99="中","两年一轮","按需抽查"))))</f>
        <v/>
      </c>
    </row>
    <row r="100">
      <c r="A100" s="5">
        <f>IF($B100="","",COUNTIFS(风险登记册!$F$4:$F$203,IF($B$2="全部","&lt;&gt;",$B$2),风险登记册!$T$4:$T$203,"&gt;"&amp;$I100)+COUNTIFS(风险登记册!$F$4:$F$203,IF($B$2="全部","&lt;&gt;",$B$2),风险登记册!$T$4:$T$203,$I100,风险登记册!$A$4:$A$203,"&lt;"&amp;$B100)+1)</f>
        <v/>
      </c>
      <c r="B100" s="5">
        <f>IF($B100="","",风险登记册!A83)</f>
        <v/>
      </c>
      <c r="C100" s="6">
        <f>IF($B100="","",风险登记册!B83)</f>
        <v/>
      </c>
      <c r="D100" s="6">
        <f>IF($B100="","",风险登记册!C83)</f>
        <v/>
      </c>
      <c r="E100" s="6">
        <f>IF($B100="","",风险登记册!E83)</f>
        <v/>
      </c>
      <c r="F100" s="5">
        <f>IF($B100="","",风险登记册!G83)</f>
        <v/>
      </c>
      <c r="G100" s="33">
        <f>IF($B100="","",风险登记册!Q83)</f>
        <v/>
      </c>
      <c r="H100" s="5">
        <f>IF($B100="","",风险登记册!R83)</f>
        <v/>
      </c>
      <c r="I100" s="33">
        <f>IF($B100="","",风险登记册!T83)</f>
        <v/>
      </c>
      <c r="J100" s="5">
        <f>IF($B100="","",风险登记册!U83)</f>
        <v/>
      </c>
      <c r="K100" s="5">
        <f>IF($B100="","",IF($J100="极高","每年必审",IF($J100="高","每年审计",IF($J100="中","两年一轮","按需抽查"))))</f>
        <v/>
      </c>
    </row>
  </sheetData>
  <conditionalFormatting sqref="D6">
    <cfRule type="expression" priority="1" dxfId="6" stopIfTrue="1">
      <formula>AND(ISNUMBER(D6),D6&gt;=参数配置!$B$14)</formula>
    </cfRule>
    <cfRule type="expression" priority="2" dxfId="7" stopIfTrue="1">
      <formula>AND(ISNUMBER(D6),D6&gt;=参数配置!$B$15,D6&lt;参数配置!$B$14)</formula>
    </cfRule>
    <cfRule type="expression" priority="3" dxfId="8" stopIfTrue="1">
      <formula>AND(ISNUMBER(D6),D6&gt;=参数配置!$B$16,D6&lt;参数配置!$B$15)</formula>
    </cfRule>
    <cfRule type="expression" priority="4" dxfId="9" stopIfTrue="1">
      <formula>AND(ISNUMBER(D6),D6&gt;=参数配置!$B$17,D6&lt;参数配置!$B$16)</formula>
    </cfRule>
    <cfRule type="expression" priority="5" dxfId="10" stopIfTrue="1">
      <formula>AND(ISNUMBER(D6),D6&lt;参数配置!$B$17)</formula>
    </cfRule>
  </conditionalFormatting>
  <conditionalFormatting sqref="D7">
    <cfRule type="expression" priority="6" dxfId="6" stopIfTrue="1">
      <formula>AND(ISNUMBER(D7),D7&gt;=参数配置!$B$14)</formula>
    </cfRule>
    <cfRule type="expression" priority="7" dxfId="7" stopIfTrue="1">
      <formula>AND(ISNUMBER(D7),D7&gt;=参数配置!$B$15,D7&lt;参数配置!$B$14)</formula>
    </cfRule>
    <cfRule type="expression" priority="8" dxfId="8" stopIfTrue="1">
      <formula>AND(ISNUMBER(D7),D7&gt;=参数配置!$B$16,D7&lt;参数配置!$B$15)</formula>
    </cfRule>
    <cfRule type="expression" priority="9" dxfId="9" stopIfTrue="1">
      <formula>AND(ISNUMBER(D7),D7&gt;=参数配置!$B$17,D7&lt;参数配置!$B$16)</formula>
    </cfRule>
    <cfRule type="expression" priority="10" dxfId="10" stopIfTrue="1">
      <formula>AND(ISNUMBER(D7),D7&lt;参数配置!$B$17)</formula>
    </cfRule>
  </conditionalFormatting>
  <conditionalFormatting sqref="D8">
    <cfRule type="expression" priority="11" dxfId="6" stopIfTrue="1">
      <formula>AND(ISNUMBER(D8),D8&gt;=参数配置!$B$14)</formula>
    </cfRule>
    <cfRule type="expression" priority="12" dxfId="7" stopIfTrue="1">
      <formula>AND(ISNUMBER(D8),D8&gt;=参数配置!$B$15,D8&lt;参数配置!$B$14)</formula>
    </cfRule>
    <cfRule type="expression" priority="13" dxfId="8" stopIfTrue="1">
      <formula>AND(ISNUMBER(D8),D8&gt;=参数配置!$B$16,D8&lt;参数配置!$B$15)</formula>
    </cfRule>
    <cfRule type="expression" priority="14" dxfId="9" stopIfTrue="1">
      <formula>AND(ISNUMBER(D8),D8&gt;=参数配置!$B$17,D8&lt;参数配置!$B$16)</formula>
    </cfRule>
    <cfRule type="expression" priority="15" dxfId="10" stopIfTrue="1">
      <formula>AND(ISNUMBER(D8),D8&lt;参数配置!$B$17)</formula>
    </cfRule>
  </conditionalFormatting>
  <conditionalFormatting sqref="D9">
    <cfRule type="expression" priority="16" dxfId="6" stopIfTrue="1">
      <formula>AND(ISNUMBER(D9),D9&gt;=参数配置!$B$14)</formula>
    </cfRule>
    <cfRule type="expression" priority="17" dxfId="7" stopIfTrue="1">
      <formula>AND(ISNUMBER(D9),D9&gt;=参数配置!$B$15,D9&lt;参数配置!$B$14)</formula>
    </cfRule>
    <cfRule type="expression" priority="18" dxfId="8" stopIfTrue="1">
      <formula>AND(ISNUMBER(D9),D9&gt;=参数配置!$B$16,D9&lt;参数配置!$B$15)</formula>
    </cfRule>
    <cfRule type="expression" priority="19" dxfId="9" stopIfTrue="1">
      <formula>AND(ISNUMBER(D9),D9&gt;=参数配置!$B$17,D9&lt;参数配置!$B$16)</formula>
    </cfRule>
    <cfRule type="expression" priority="20" dxfId="10" stopIfTrue="1">
      <formula>AND(ISNUMBER(D9),D9&lt;参数配置!$B$17)</formula>
    </cfRule>
  </conditionalFormatting>
  <conditionalFormatting sqref="D10">
    <cfRule type="expression" priority="21" dxfId="6" stopIfTrue="1">
      <formula>AND(ISNUMBER(D10),D10&gt;=参数配置!$B$14)</formula>
    </cfRule>
    <cfRule type="expression" priority="22" dxfId="7" stopIfTrue="1">
      <formula>AND(ISNUMBER(D10),D10&gt;=参数配置!$B$15,D10&lt;参数配置!$B$14)</formula>
    </cfRule>
    <cfRule type="expression" priority="23" dxfId="8" stopIfTrue="1">
      <formula>AND(ISNUMBER(D10),D10&gt;=参数配置!$B$16,D10&lt;参数配置!$B$15)</formula>
    </cfRule>
    <cfRule type="expression" priority="24" dxfId="9" stopIfTrue="1">
      <formula>AND(ISNUMBER(D10),D10&gt;=参数配置!$B$17,D10&lt;参数配置!$B$16)</formula>
    </cfRule>
    <cfRule type="expression" priority="25" dxfId="10" stopIfTrue="1">
      <formula>AND(ISNUMBER(D10),D10&lt;参数配置!$B$17)</formula>
    </cfRule>
  </conditionalFormatting>
  <conditionalFormatting sqref="D11">
    <cfRule type="expression" priority="26" dxfId="6" stopIfTrue="1">
      <formula>AND(ISNUMBER(D11),D11&gt;=参数配置!$B$14)</formula>
    </cfRule>
    <cfRule type="expression" priority="27" dxfId="7" stopIfTrue="1">
      <formula>AND(ISNUMBER(D11),D11&gt;=参数配置!$B$15,D11&lt;参数配置!$B$14)</formula>
    </cfRule>
    <cfRule type="expression" priority="28" dxfId="8" stopIfTrue="1">
      <formula>AND(ISNUMBER(D11),D11&gt;=参数配置!$B$16,D11&lt;参数配置!$B$15)</formula>
    </cfRule>
    <cfRule type="expression" priority="29" dxfId="9" stopIfTrue="1">
      <formula>AND(ISNUMBER(D11),D11&gt;=参数配置!$B$17,D11&lt;参数配置!$B$16)</formula>
    </cfRule>
    <cfRule type="expression" priority="30" dxfId="10" stopIfTrue="1">
      <formula>AND(ISNUMBER(D11),D11&lt;参数配置!$B$17)</formula>
    </cfRule>
  </conditionalFormatting>
  <conditionalFormatting sqref="D12">
    <cfRule type="expression" priority="31" dxfId="6" stopIfTrue="1">
      <formula>AND(ISNUMBER(D12),D12&gt;=参数配置!$B$14)</formula>
    </cfRule>
    <cfRule type="expression" priority="32" dxfId="7" stopIfTrue="1">
      <formula>AND(ISNUMBER(D12),D12&gt;=参数配置!$B$15,D12&lt;参数配置!$B$14)</formula>
    </cfRule>
    <cfRule type="expression" priority="33" dxfId="8" stopIfTrue="1">
      <formula>AND(ISNUMBER(D12),D12&gt;=参数配置!$B$16,D12&lt;参数配置!$B$15)</formula>
    </cfRule>
    <cfRule type="expression" priority="34" dxfId="9" stopIfTrue="1">
      <formula>AND(ISNUMBER(D12),D12&gt;=参数配置!$B$17,D12&lt;参数配置!$B$16)</formula>
    </cfRule>
    <cfRule type="expression" priority="35" dxfId="10" stopIfTrue="1">
      <formula>AND(ISNUMBER(D12),D12&lt;参数配置!$B$17)</formula>
    </cfRule>
  </conditionalFormatting>
  <conditionalFormatting sqref="D13">
    <cfRule type="expression" priority="36" dxfId="6" stopIfTrue="1">
      <formula>AND(ISNUMBER(D13),D13&gt;=参数配置!$B$14)</formula>
    </cfRule>
    <cfRule type="expression" priority="37" dxfId="7" stopIfTrue="1">
      <formula>AND(ISNUMBER(D13),D13&gt;=参数配置!$B$15,D13&lt;参数配置!$B$14)</formula>
    </cfRule>
    <cfRule type="expression" priority="38" dxfId="8" stopIfTrue="1">
      <formula>AND(ISNUMBER(D13),D13&gt;=参数配置!$B$16,D13&lt;参数配置!$B$15)</formula>
    </cfRule>
    <cfRule type="expression" priority="39" dxfId="9" stopIfTrue="1">
      <formula>AND(ISNUMBER(D13),D13&gt;=参数配置!$B$17,D13&lt;参数配置!$B$16)</formula>
    </cfRule>
    <cfRule type="expression" priority="40" dxfId="10" stopIfTrue="1">
      <formula>AND(ISNUMBER(D13),D13&lt;参数配置!$B$17)</formula>
    </cfRule>
  </conditionalFormatting>
  <conditionalFormatting sqref="D14">
    <cfRule type="expression" priority="41" dxfId="6" stopIfTrue="1">
      <formula>AND(ISNUMBER(D14),D14&gt;=参数配置!$B$14)</formula>
    </cfRule>
    <cfRule type="expression" priority="42" dxfId="7" stopIfTrue="1">
      <formula>AND(ISNUMBER(D14),D14&gt;=参数配置!$B$15,D14&lt;参数配置!$B$14)</formula>
    </cfRule>
    <cfRule type="expression" priority="43" dxfId="8" stopIfTrue="1">
      <formula>AND(ISNUMBER(D14),D14&gt;=参数配置!$B$16,D14&lt;参数配置!$B$15)</formula>
    </cfRule>
    <cfRule type="expression" priority="44" dxfId="9" stopIfTrue="1">
      <formula>AND(ISNUMBER(D14),D14&gt;=参数配置!$B$17,D14&lt;参数配置!$B$16)</formula>
    </cfRule>
    <cfRule type="expression" priority="45" dxfId="10" stopIfTrue="1">
      <formula>AND(ISNUMBER(D14),D14&lt;参数配置!$B$17)</formula>
    </cfRule>
  </conditionalFormatting>
  <conditionalFormatting sqref="D15">
    <cfRule type="expression" priority="46" dxfId="6" stopIfTrue="1">
      <formula>AND(ISNUMBER(D15),D15&gt;=参数配置!$B$14)</formula>
    </cfRule>
    <cfRule type="expression" priority="47" dxfId="7" stopIfTrue="1">
      <formula>AND(ISNUMBER(D15),D15&gt;=参数配置!$B$15,D15&lt;参数配置!$B$14)</formula>
    </cfRule>
    <cfRule type="expression" priority="48" dxfId="8" stopIfTrue="1">
      <formula>AND(ISNUMBER(D15),D15&gt;=参数配置!$B$16,D15&lt;参数配置!$B$15)</formula>
    </cfRule>
    <cfRule type="expression" priority="49" dxfId="9" stopIfTrue="1">
      <formula>AND(ISNUMBER(D15),D15&gt;=参数配置!$B$17,D15&lt;参数配置!$B$16)</formula>
    </cfRule>
    <cfRule type="expression" priority="50" dxfId="10" stopIfTrue="1">
      <formula>AND(ISNUMBER(D15),D15&lt;参数配置!$B$17)</formula>
    </cfRule>
  </conditionalFormatting>
  <conditionalFormatting sqref="D16">
    <cfRule type="expression" priority="51" dxfId="6" stopIfTrue="1">
      <formula>AND(ISNUMBER(D16),D16&gt;=参数配置!$B$14)</formula>
    </cfRule>
    <cfRule type="expression" priority="52" dxfId="7" stopIfTrue="1">
      <formula>AND(ISNUMBER(D16),D16&gt;=参数配置!$B$15,D16&lt;参数配置!$B$14)</formula>
    </cfRule>
    <cfRule type="expression" priority="53" dxfId="8" stopIfTrue="1">
      <formula>AND(ISNUMBER(D16),D16&gt;=参数配置!$B$16,D16&lt;参数配置!$B$15)</formula>
    </cfRule>
    <cfRule type="expression" priority="54" dxfId="9" stopIfTrue="1">
      <formula>AND(ISNUMBER(D16),D16&gt;=参数配置!$B$17,D16&lt;参数配置!$B$16)</formula>
    </cfRule>
    <cfRule type="expression" priority="55" dxfId="10" stopIfTrue="1">
      <formula>AND(ISNUMBER(D16),D16&lt;参数配置!$B$17)</formula>
    </cfRule>
  </conditionalFormatting>
  <conditionalFormatting sqref="D17">
    <cfRule type="expression" priority="56" dxfId="6" stopIfTrue="1">
      <formula>AND(ISNUMBER(D17),D17&gt;=参数配置!$B$14)</formula>
    </cfRule>
    <cfRule type="expression" priority="57" dxfId="7" stopIfTrue="1">
      <formula>AND(ISNUMBER(D17),D17&gt;=参数配置!$B$15,D17&lt;参数配置!$B$14)</formula>
    </cfRule>
    <cfRule type="expression" priority="58" dxfId="8" stopIfTrue="1">
      <formula>AND(ISNUMBER(D17),D17&gt;=参数配置!$B$16,D17&lt;参数配置!$B$15)</formula>
    </cfRule>
    <cfRule type="expression" priority="59" dxfId="9" stopIfTrue="1">
      <formula>AND(ISNUMBER(D17),D17&gt;=参数配置!$B$17,D17&lt;参数配置!$B$16)</formula>
    </cfRule>
    <cfRule type="expression" priority="60" dxfId="10" stopIfTrue="1">
      <formula>AND(ISNUMBER(D17),D17&lt;参数配置!$B$17)</formula>
    </cfRule>
  </conditionalFormatting>
  <conditionalFormatting sqref="J21">
    <cfRule type="expression" priority="61" dxfId="1" stopIfTrue="1">
      <formula>$J21="极高"</formula>
    </cfRule>
    <cfRule type="expression" priority="62" dxfId="2" stopIfTrue="1">
      <formula>$J21="高"</formula>
    </cfRule>
    <cfRule type="expression" priority="63" dxfId="3" stopIfTrue="1">
      <formula>$J21="中"</formula>
    </cfRule>
    <cfRule type="expression" priority="64" dxfId="4" stopIfTrue="1">
      <formula>$J21="低"</formula>
    </cfRule>
    <cfRule type="expression" priority="65" dxfId="5" stopIfTrue="1">
      <formula>$J21="极低"</formula>
    </cfRule>
  </conditionalFormatting>
  <conditionalFormatting sqref="J22">
    <cfRule type="expression" priority="66" dxfId="1" stopIfTrue="1">
      <formula>$J22="极高"</formula>
    </cfRule>
    <cfRule type="expression" priority="67" dxfId="2" stopIfTrue="1">
      <formula>$J22="高"</formula>
    </cfRule>
    <cfRule type="expression" priority="68" dxfId="3" stopIfTrue="1">
      <formula>$J22="中"</formula>
    </cfRule>
    <cfRule type="expression" priority="69" dxfId="4" stopIfTrue="1">
      <formula>$J22="低"</formula>
    </cfRule>
    <cfRule type="expression" priority="70" dxfId="5" stopIfTrue="1">
      <formula>$J22="极低"</formula>
    </cfRule>
  </conditionalFormatting>
  <conditionalFormatting sqref="J23">
    <cfRule type="expression" priority="71" dxfId="1" stopIfTrue="1">
      <formula>$J23="极高"</formula>
    </cfRule>
    <cfRule type="expression" priority="72" dxfId="2" stopIfTrue="1">
      <formula>$J23="高"</formula>
    </cfRule>
    <cfRule type="expression" priority="73" dxfId="3" stopIfTrue="1">
      <formula>$J23="中"</formula>
    </cfRule>
    <cfRule type="expression" priority="74" dxfId="4" stopIfTrue="1">
      <formula>$J23="低"</formula>
    </cfRule>
    <cfRule type="expression" priority="75" dxfId="5" stopIfTrue="1">
      <formula>$J23="极低"</formula>
    </cfRule>
  </conditionalFormatting>
  <conditionalFormatting sqref="J24">
    <cfRule type="expression" priority="76" dxfId="1" stopIfTrue="1">
      <formula>$J24="极高"</formula>
    </cfRule>
    <cfRule type="expression" priority="77" dxfId="2" stopIfTrue="1">
      <formula>$J24="高"</formula>
    </cfRule>
    <cfRule type="expression" priority="78" dxfId="3" stopIfTrue="1">
      <formula>$J24="中"</formula>
    </cfRule>
    <cfRule type="expression" priority="79" dxfId="4" stopIfTrue="1">
      <formula>$J24="低"</formula>
    </cfRule>
    <cfRule type="expression" priority="80" dxfId="5" stopIfTrue="1">
      <formula>$J24="极低"</formula>
    </cfRule>
  </conditionalFormatting>
  <conditionalFormatting sqref="J25">
    <cfRule type="expression" priority="81" dxfId="1" stopIfTrue="1">
      <formula>$J25="极高"</formula>
    </cfRule>
    <cfRule type="expression" priority="82" dxfId="2" stopIfTrue="1">
      <formula>$J25="高"</formula>
    </cfRule>
    <cfRule type="expression" priority="83" dxfId="3" stopIfTrue="1">
      <formula>$J25="中"</formula>
    </cfRule>
    <cfRule type="expression" priority="84" dxfId="4" stopIfTrue="1">
      <formula>$J25="低"</formula>
    </cfRule>
    <cfRule type="expression" priority="85" dxfId="5" stopIfTrue="1">
      <formula>$J25="极低"</formula>
    </cfRule>
  </conditionalFormatting>
  <conditionalFormatting sqref="J26">
    <cfRule type="expression" priority="86" dxfId="1" stopIfTrue="1">
      <formula>$J26="极高"</formula>
    </cfRule>
    <cfRule type="expression" priority="87" dxfId="2" stopIfTrue="1">
      <formula>$J26="高"</formula>
    </cfRule>
    <cfRule type="expression" priority="88" dxfId="3" stopIfTrue="1">
      <formula>$J26="中"</formula>
    </cfRule>
    <cfRule type="expression" priority="89" dxfId="4" stopIfTrue="1">
      <formula>$J26="低"</formula>
    </cfRule>
    <cfRule type="expression" priority="90" dxfId="5" stopIfTrue="1">
      <formula>$J26="极低"</formula>
    </cfRule>
  </conditionalFormatting>
  <conditionalFormatting sqref="J27">
    <cfRule type="expression" priority="91" dxfId="1" stopIfTrue="1">
      <formula>$J27="极高"</formula>
    </cfRule>
    <cfRule type="expression" priority="92" dxfId="2" stopIfTrue="1">
      <formula>$J27="高"</formula>
    </cfRule>
    <cfRule type="expression" priority="93" dxfId="3" stopIfTrue="1">
      <formula>$J27="中"</formula>
    </cfRule>
    <cfRule type="expression" priority="94" dxfId="4" stopIfTrue="1">
      <formula>$J27="低"</formula>
    </cfRule>
    <cfRule type="expression" priority="95" dxfId="5" stopIfTrue="1">
      <formula>$J27="极低"</formula>
    </cfRule>
  </conditionalFormatting>
  <conditionalFormatting sqref="J28">
    <cfRule type="expression" priority="96" dxfId="1" stopIfTrue="1">
      <formula>$J28="极高"</formula>
    </cfRule>
    <cfRule type="expression" priority="97" dxfId="2" stopIfTrue="1">
      <formula>$J28="高"</formula>
    </cfRule>
    <cfRule type="expression" priority="98" dxfId="3" stopIfTrue="1">
      <formula>$J28="中"</formula>
    </cfRule>
    <cfRule type="expression" priority="99" dxfId="4" stopIfTrue="1">
      <formula>$J28="低"</formula>
    </cfRule>
    <cfRule type="expression" priority="100" dxfId="5" stopIfTrue="1">
      <formula>$J28="极低"</formula>
    </cfRule>
  </conditionalFormatting>
  <conditionalFormatting sqref="J29">
    <cfRule type="expression" priority="101" dxfId="1" stopIfTrue="1">
      <formula>$J29="极高"</formula>
    </cfRule>
    <cfRule type="expression" priority="102" dxfId="2" stopIfTrue="1">
      <formula>$J29="高"</formula>
    </cfRule>
    <cfRule type="expression" priority="103" dxfId="3" stopIfTrue="1">
      <formula>$J29="中"</formula>
    </cfRule>
    <cfRule type="expression" priority="104" dxfId="4" stopIfTrue="1">
      <formula>$J29="低"</formula>
    </cfRule>
    <cfRule type="expression" priority="105" dxfId="5" stopIfTrue="1">
      <formula>$J29="极低"</formula>
    </cfRule>
  </conditionalFormatting>
  <conditionalFormatting sqref="J30">
    <cfRule type="expression" priority="106" dxfId="1" stopIfTrue="1">
      <formula>$J30="极高"</formula>
    </cfRule>
    <cfRule type="expression" priority="107" dxfId="2" stopIfTrue="1">
      <formula>$J30="高"</formula>
    </cfRule>
    <cfRule type="expression" priority="108" dxfId="3" stopIfTrue="1">
      <formula>$J30="中"</formula>
    </cfRule>
    <cfRule type="expression" priority="109" dxfId="4" stopIfTrue="1">
      <formula>$J30="低"</formula>
    </cfRule>
    <cfRule type="expression" priority="110" dxfId="5" stopIfTrue="1">
      <formula>$J30="极低"</formula>
    </cfRule>
  </conditionalFormatting>
  <conditionalFormatting sqref="J31">
    <cfRule type="expression" priority="111" dxfId="1" stopIfTrue="1">
      <formula>$J31="极高"</formula>
    </cfRule>
    <cfRule type="expression" priority="112" dxfId="2" stopIfTrue="1">
      <formula>$J31="高"</formula>
    </cfRule>
    <cfRule type="expression" priority="113" dxfId="3" stopIfTrue="1">
      <formula>$J31="中"</formula>
    </cfRule>
    <cfRule type="expression" priority="114" dxfId="4" stopIfTrue="1">
      <formula>$J31="低"</formula>
    </cfRule>
    <cfRule type="expression" priority="115" dxfId="5" stopIfTrue="1">
      <formula>$J31="极低"</formula>
    </cfRule>
  </conditionalFormatting>
  <conditionalFormatting sqref="J32">
    <cfRule type="expression" priority="116" dxfId="1" stopIfTrue="1">
      <formula>$J32="极高"</formula>
    </cfRule>
    <cfRule type="expression" priority="117" dxfId="2" stopIfTrue="1">
      <formula>$J32="高"</formula>
    </cfRule>
    <cfRule type="expression" priority="118" dxfId="3" stopIfTrue="1">
      <formula>$J32="中"</formula>
    </cfRule>
    <cfRule type="expression" priority="119" dxfId="4" stopIfTrue="1">
      <formula>$J32="低"</formula>
    </cfRule>
    <cfRule type="expression" priority="120" dxfId="5" stopIfTrue="1">
      <formula>$J32="极低"</formula>
    </cfRule>
  </conditionalFormatting>
  <conditionalFormatting sqref="J33">
    <cfRule type="expression" priority="121" dxfId="1" stopIfTrue="1">
      <formula>$J33="极高"</formula>
    </cfRule>
    <cfRule type="expression" priority="122" dxfId="2" stopIfTrue="1">
      <formula>$J33="高"</formula>
    </cfRule>
    <cfRule type="expression" priority="123" dxfId="3" stopIfTrue="1">
      <formula>$J33="中"</formula>
    </cfRule>
    <cfRule type="expression" priority="124" dxfId="4" stopIfTrue="1">
      <formula>$J33="低"</formula>
    </cfRule>
    <cfRule type="expression" priority="125" dxfId="5" stopIfTrue="1">
      <formula>$J33="极低"</formula>
    </cfRule>
  </conditionalFormatting>
  <conditionalFormatting sqref="J34">
    <cfRule type="expression" priority="126" dxfId="1" stopIfTrue="1">
      <formula>$J34="极高"</formula>
    </cfRule>
    <cfRule type="expression" priority="127" dxfId="2" stopIfTrue="1">
      <formula>$J34="高"</formula>
    </cfRule>
    <cfRule type="expression" priority="128" dxfId="3" stopIfTrue="1">
      <formula>$J34="中"</formula>
    </cfRule>
    <cfRule type="expression" priority="129" dxfId="4" stopIfTrue="1">
      <formula>$J34="低"</formula>
    </cfRule>
    <cfRule type="expression" priority="130" dxfId="5" stopIfTrue="1">
      <formula>$J34="极低"</formula>
    </cfRule>
  </conditionalFormatting>
  <conditionalFormatting sqref="J35">
    <cfRule type="expression" priority="131" dxfId="1" stopIfTrue="1">
      <formula>$J35="极高"</formula>
    </cfRule>
    <cfRule type="expression" priority="132" dxfId="2" stopIfTrue="1">
      <formula>$J35="高"</formula>
    </cfRule>
    <cfRule type="expression" priority="133" dxfId="3" stopIfTrue="1">
      <formula>$J35="中"</formula>
    </cfRule>
    <cfRule type="expression" priority="134" dxfId="4" stopIfTrue="1">
      <formula>$J35="低"</formula>
    </cfRule>
    <cfRule type="expression" priority="135" dxfId="5" stopIfTrue="1">
      <formula>$J35="极低"</formula>
    </cfRule>
  </conditionalFormatting>
  <conditionalFormatting sqref="J36">
    <cfRule type="expression" priority="136" dxfId="1" stopIfTrue="1">
      <formula>$J36="极高"</formula>
    </cfRule>
    <cfRule type="expression" priority="137" dxfId="2" stopIfTrue="1">
      <formula>$J36="高"</formula>
    </cfRule>
    <cfRule type="expression" priority="138" dxfId="3" stopIfTrue="1">
      <formula>$J36="中"</formula>
    </cfRule>
    <cfRule type="expression" priority="139" dxfId="4" stopIfTrue="1">
      <formula>$J36="低"</formula>
    </cfRule>
    <cfRule type="expression" priority="140" dxfId="5" stopIfTrue="1">
      <formula>$J36="极低"</formula>
    </cfRule>
  </conditionalFormatting>
  <conditionalFormatting sqref="J37">
    <cfRule type="expression" priority="141" dxfId="1" stopIfTrue="1">
      <formula>$J37="极高"</formula>
    </cfRule>
    <cfRule type="expression" priority="142" dxfId="2" stopIfTrue="1">
      <formula>$J37="高"</formula>
    </cfRule>
    <cfRule type="expression" priority="143" dxfId="3" stopIfTrue="1">
      <formula>$J37="中"</formula>
    </cfRule>
    <cfRule type="expression" priority="144" dxfId="4" stopIfTrue="1">
      <formula>$J37="低"</formula>
    </cfRule>
    <cfRule type="expression" priority="145" dxfId="5" stopIfTrue="1">
      <formula>$J37="极低"</formula>
    </cfRule>
  </conditionalFormatting>
  <conditionalFormatting sqref="J38">
    <cfRule type="expression" priority="146" dxfId="1" stopIfTrue="1">
      <formula>$J38="极高"</formula>
    </cfRule>
    <cfRule type="expression" priority="147" dxfId="2" stopIfTrue="1">
      <formula>$J38="高"</formula>
    </cfRule>
    <cfRule type="expression" priority="148" dxfId="3" stopIfTrue="1">
      <formula>$J38="中"</formula>
    </cfRule>
    <cfRule type="expression" priority="149" dxfId="4" stopIfTrue="1">
      <formula>$J38="低"</formula>
    </cfRule>
    <cfRule type="expression" priority="150" dxfId="5" stopIfTrue="1">
      <formula>$J38="极低"</formula>
    </cfRule>
  </conditionalFormatting>
  <conditionalFormatting sqref="J39">
    <cfRule type="expression" priority="151" dxfId="1" stopIfTrue="1">
      <formula>$J39="极高"</formula>
    </cfRule>
    <cfRule type="expression" priority="152" dxfId="2" stopIfTrue="1">
      <formula>$J39="高"</formula>
    </cfRule>
    <cfRule type="expression" priority="153" dxfId="3" stopIfTrue="1">
      <formula>$J39="中"</formula>
    </cfRule>
    <cfRule type="expression" priority="154" dxfId="4" stopIfTrue="1">
      <formula>$J39="低"</formula>
    </cfRule>
    <cfRule type="expression" priority="155" dxfId="5" stopIfTrue="1">
      <formula>$J39="极低"</formula>
    </cfRule>
  </conditionalFormatting>
  <conditionalFormatting sqref="J40">
    <cfRule type="expression" priority="156" dxfId="1" stopIfTrue="1">
      <formula>$J40="极高"</formula>
    </cfRule>
    <cfRule type="expression" priority="157" dxfId="2" stopIfTrue="1">
      <formula>$J40="高"</formula>
    </cfRule>
    <cfRule type="expression" priority="158" dxfId="3" stopIfTrue="1">
      <formula>$J40="中"</formula>
    </cfRule>
    <cfRule type="expression" priority="159" dxfId="4" stopIfTrue="1">
      <formula>$J40="低"</formula>
    </cfRule>
    <cfRule type="expression" priority="160" dxfId="5" stopIfTrue="1">
      <formula>$J40="极低"</formula>
    </cfRule>
  </conditionalFormatting>
  <conditionalFormatting sqref="J41">
    <cfRule type="expression" priority="161" dxfId="1" stopIfTrue="1">
      <formula>$J41="极高"</formula>
    </cfRule>
    <cfRule type="expression" priority="162" dxfId="2" stopIfTrue="1">
      <formula>$J41="高"</formula>
    </cfRule>
    <cfRule type="expression" priority="163" dxfId="3" stopIfTrue="1">
      <formula>$J41="中"</formula>
    </cfRule>
    <cfRule type="expression" priority="164" dxfId="4" stopIfTrue="1">
      <formula>$J41="低"</formula>
    </cfRule>
    <cfRule type="expression" priority="165" dxfId="5" stopIfTrue="1">
      <formula>$J41="极低"</formula>
    </cfRule>
  </conditionalFormatting>
  <conditionalFormatting sqref="J42">
    <cfRule type="expression" priority="166" dxfId="1" stopIfTrue="1">
      <formula>$J42="极高"</formula>
    </cfRule>
    <cfRule type="expression" priority="167" dxfId="2" stopIfTrue="1">
      <formula>$J42="高"</formula>
    </cfRule>
    <cfRule type="expression" priority="168" dxfId="3" stopIfTrue="1">
      <formula>$J42="中"</formula>
    </cfRule>
    <cfRule type="expression" priority="169" dxfId="4" stopIfTrue="1">
      <formula>$J42="低"</formula>
    </cfRule>
    <cfRule type="expression" priority="170" dxfId="5" stopIfTrue="1">
      <formula>$J42="极低"</formula>
    </cfRule>
  </conditionalFormatting>
  <conditionalFormatting sqref="J43">
    <cfRule type="expression" priority="171" dxfId="1" stopIfTrue="1">
      <formula>$J43="极高"</formula>
    </cfRule>
    <cfRule type="expression" priority="172" dxfId="2" stopIfTrue="1">
      <formula>$J43="高"</formula>
    </cfRule>
    <cfRule type="expression" priority="173" dxfId="3" stopIfTrue="1">
      <formula>$J43="中"</formula>
    </cfRule>
    <cfRule type="expression" priority="174" dxfId="4" stopIfTrue="1">
      <formula>$J43="低"</formula>
    </cfRule>
    <cfRule type="expression" priority="175" dxfId="5" stopIfTrue="1">
      <formula>$J43="极低"</formula>
    </cfRule>
  </conditionalFormatting>
  <conditionalFormatting sqref="J44">
    <cfRule type="expression" priority="176" dxfId="1" stopIfTrue="1">
      <formula>$J44="极高"</formula>
    </cfRule>
    <cfRule type="expression" priority="177" dxfId="2" stopIfTrue="1">
      <formula>$J44="高"</formula>
    </cfRule>
    <cfRule type="expression" priority="178" dxfId="3" stopIfTrue="1">
      <formula>$J44="中"</formula>
    </cfRule>
    <cfRule type="expression" priority="179" dxfId="4" stopIfTrue="1">
      <formula>$J44="低"</formula>
    </cfRule>
    <cfRule type="expression" priority="180" dxfId="5" stopIfTrue="1">
      <formula>$J44="极低"</formula>
    </cfRule>
  </conditionalFormatting>
  <conditionalFormatting sqref="J45">
    <cfRule type="expression" priority="181" dxfId="1" stopIfTrue="1">
      <formula>$J45="极高"</formula>
    </cfRule>
    <cfRule type="expression" priority="182" dxfId="2" stopIfTrue="1">
      <formula>$J45="高"</formula>
    </cfRule>
    <cfRule type="expression" priority="183" dxfId="3" stopIfTrue="1">
      <formula>$J45="中"</formula>
    </cfRule>
    <cfRule type="expression" priority="184" dxfId="4" stopIfTrue="1">
      <formula>$J45="低"</formula>
    </cfRule>
    <cfRule type="expression" priority="185" dxfId="5" stopIfTrue="1">
      <formula>$J45="极低"</formula>
    </cfRule>
  </conditionalFormatting>
  <conditionalFormatting sqref="J46">
    <cfRule type="expression" priority="186" dxfId="1" stopIfTrue="1">
      <formula>$J46="极高"</formula>
    </cfRule>
    <cfRule type="expression" priority="187" dxfId="2" stopIfTrue="1">
      <formula>$J46="高"</formula>
    </cfRule>
    <cfRule type="expression" priority="188" dxfId="3" stopIfTrue="1">
      <formula>$J46="中"</formula>
    </cfRule>
    <cfRule type="expression" priority="189" dxfId="4" stopIfTrue="1">
      <formula>$J46="低"</formula>
    </cfRule>
    <cfRule type="expression" priority="190" dxfId="5" stopIfTrue="1">
      <formula>$J46="极低"</formula>
    </cfRule>
  </conditionalFormatting>
  <conditionalFormatting sqref="J47">
    <cfRule type="expression" priority="191" dxfId="1" stopIfTrue="1">
      <formula>$J47="极高"</formula>
    </cfRule>
    <cfRule type="expression" priority="192" dxfId="2" stopIfTrue="1">
      <formula>$J47="高"</formula>
    </cfRule>
    <cfRule type="expression" priority="193" dxfId="3" stopIfTrue="1">
      <formula>$J47="中"</formula>
    </cfRule>
    <cfRule type="expression" priority="194" dxfId="4" stopIfTrue="1">
      <formula>$J47="低"</formula>
    </cfRule>
    <cfRule type="expression" priority="195" dxfId="5" stopIfTrue="1">
      <formula>$J47="极低"</formula>
    </cfRule>
  </conditionalFormatting>
  <conditionalFormatting sqref="J48">
    <cfRule type="expression" priority="196" dxfId="1" stopIfTrue="1">
      <formula>$J48="极高"</formula>
    </cfRule>
    <cfRule type="expression" priority="197" dxfId="2" stopIfTrue="1">
      <formula>$J48="高"</formula>
    </cfRule>
    <cfRule type="expression" priority="198" dxfId="3" stopIfTrue="1">
      <formula>$J48="中"</formula>
    </cfRule>
    <cfRule type="expression" priority="199" dxfId="4" stopIfTrue="1">
      <formula>$J48="低"</formula>
    </cfRule>
    <cfRule type="expression" priority="200" dxfId="5" stopIfTrue="1">
      <formula>$J48="极低"</formula>
    </cfRule>
  </conditionalFormatting>
  <conditionalFormatting sqref="J49">
    <cfRule type="expression" priority="201" dxfId="1" stopIfTrue="1">
      <formula>$J49="极高"</formula>
    </cfRule>
    <cfRule type="expression" priority="202" dxfId="2" stopIfTrue="1">
      <formula>$J49="高"</formula>
    </cfRule>
    <cfRule type="expression" priority="203" dxfId="3" stopIfTrue="1">
      <formula>$J49="中"</formula>
    </cfRule>
    <cfRule type="expression" priority="204" dxfId="4" stopIfTrue="1">
      <formula>$J49="低"</formula>
    </cfRule>
    <cfRule type="expression" priority="205" dxfId="5" stopIfTrue="1">
      <formula>$J49="极低"</formula>
    </cfRule>
  </conditionalFormatting>
  <conditionalFormatting sqref="J50">
    <cfRule type="expression" priority="206" dxfId="1" stopIfTrue="1">
      <formula>$J50="极高"</formula>
    </cfRule>
    <cfRule type="expression" priority="207" dxfId="2" stopIfTrue="1">
      <formula>$J50="高"</formula>
    </cfRule>
    <cfRule type="expression" priority="208" dxfId="3" stopIfTrue="1">
      <formula>$J50="中"</formula>
    </cfRule>
    <cfRule type="expression" priority="209" dxfId="4" stopIfTrue="1">
      <formula>$J50="低"</formula>
    </cfRule>
    <cfRule type="expression" priority="210" dxfId="5" stopIfTrue="1">
      <formula>$J50="极低"</formula>
    </cfRule>
  </conditionalFormatting>
  <conditionalFormatting sqref="J51">
    <cfRule type="expression" priority="211" dxfId="1" stopIfTrue="1">
      <formula>$J51="极高"</formula>
    </cfRule>
    <cfRule type="expression" priority="212" dxfId="2" stopIfTrue="1">
      <formula>$J51="高"</formula>
    </cfRule>
    <cfRule type="expression" priority="213" dxfId="3" stopIfTrue="1">
      <formula>$J51="中"</formula>
    </cfRule>
    <cfRule type="expression" priority="214" dxfId="4" stopIfTrue="1">
      <formula>$J51="低"</formula>
    </cfRule>
    <cfRule type="expression" priority="215" dxfId="5" stopIfTrue="1">
      <formula>$J51="极低"</formula>
    </cfRule>
  </conditionalFormatting>
  <conditionalFormatting sqref="J52">
    <cfRule type="expression" priority="216" dxfId="1" stopIfTrue="1">
      <formula>$J52="极高"</formula>
    </cfRule>
    <cfRule type="expression" priority="217" dxfId="2" stopIfTrue="1">
      <formula>$J52="高"</formula>
    </cfRule>
    <cfRule type="expression" priority="218" dxfId="3" stopIfTrue="1">
      <formula>$J52="中"</formula>
    </cfRule>
    <cfRule type="expression" priority="219" dxfId="4" stopIfTrue="1">
      <formula>$J52="低"</formula>
    </cfRule>
    <cfRule type="expression" priority="220" dxfId="5" stopIfTrue="1">
      <formula>$J52="极低"</formula>
    </cfRule>
  </conditionalFormatting>
  <conditionalFormatting sqref="J53">
    <cfRule type="expression" priority="221" dxfId="1" stopIfTrue="1">
      <formula>$J53="极高"</formula>
    </cfRule>
    <cfRule type="expression" priority="222" dxfId="2" stopIfTrue="1">
      <formula>$J53="高"</formula>
    </cfRule>
    <cfRule type="expression" priority="223" dxfId="3" stopIfTrue="1">
      <formula>$J53="中"</formula>
    </cfRule>
    <cfRule type="expression" priority="224" dxfId="4" stopIfTrue="1">
      <formula>$J53="低"</formula>
    </cfRule>
    <cfRule type="expression" priority="225" dxfId="5" stopIfTrue="1">
      <formula>$J53="极低"</formula>
    </cfRule>
  </conditionalFormatting>
  <conditionalFormatting sqref="J54">
    <cfRule type="expression" priority="226" dxfId="1" stopIfTrue="1">
      <formula>$J54="极高"</formula>
    </cfRule>
    <cfRule type="expression" priority="227" dxfId="2" stopIfTrue="1">
      <formula>$J54="高"</formula>
    </cfRule>
    <cfRule type="expression" priority="228" dxfId="3" stopIfTrue="1">
      <formula>$J54="中"</formula>
    </cfRule>
    <cfRule type="expression" priority="229" dxfId="4" stopIfTrue="1">
      <formula>$J54="低"</formula>
    </cfRule>
    <cfRule type="expression" priority="230" dxfId="5" stopIfTrue="1">
      <formula>$J54="极低"</formula>
    </cfRule>
  </conditionalFormatting>
  <conditionalFormatting sqref="J55">
    <cfRule type="expression" priority="231" dxfId="1" stopIfTrue="1">
      <formula>$J55="极高"</formula>
    </cfRule>
    <cfRule type="expression" priority="232" dxfId="2" stopIfTrue="1">
      <formula>$J55="高"</formula>
    </cfRule>
    <cfRule type="expression" priority="233" dxfId="3" stopIfTrue="1">
      <formula>$J55="中"</formula>
    </cfRule>
    <cfRule type="expression" priority="234" dxfId="4" stopIfTrue="1">
      <formula>$J55="低"</formula>
    </cfRule>
    <cfRule type="expression" priority="235" dxfId="5" stopIfTrue="1">
      <formula>$J55="极低"</formula>
    </cfRule>
  </conditionalFormatting>
  <conditionalFormatting sqref="J56">
    <cfRule type="expression" priority="236" dxfId="1" stopIfTrue="1">
      <formula>$J56="极高"</formula>
    </cfRule>
    <cfRule type="expression" priority="237" dxfId="2" stopIfTrue="1">
      <formula>$J56="高"</formula>
    </cfRule>
    <cfRule type="expression" priority="238" dxfId="3" stopIfTrue="1">
      <formula>$J56="中"</formula>
    </cfRule>
    <cfRule type="expression" priority="239" dxfId="4" stopIfTrue="1">
      <formula>$J56="低"</formula>
    </cfRule>
    <cfRule type="expression" priority="240" dxfId="5" stopIfTrue="1">
      <formula>$J56="极低"</formula>
    </cfRule>
  </conditionalFormatting>
  <conditionalFormatting sqref="J57">
    <cfRule type="expression" priority="241" dxfId="1" stopIfTrue="1">
      <formula>$J57="极高"</formula>
    </cfRule>
    <cfRule type="expression" priority="242" dxfId="2" stopIfTrue="1">
      <formula>$J57="高"</formula>
    </cfRule>
    <cfRule type="expression" priority="243" dxfId="3" stopIfTrue="1">
      <formula>$J57="中"</formula>
    </cfRule>
    <cfRule type="expression" priority="244" dxfId="4" stopIfTrue="1">
      <formula>$J57="低"</formula>
    </cfRule>
    <cfRule type="expression" priority="245" dxfId="5" stopIfTrue="1">
      <formula>$J57="极低"</formula>
    </cfRule>
  </conditionalFormatting>
  <conditionalFormatting sqref="J58">
    <cfRule type="expression" priority="246" dxfId="1" stopIfTrue="1">
      <formula>$J58="极高"</formula>
    </cfRule>
    <cfRule type="expression" priority="247" dxfId="2" stopIfTrue="1">
      <formula>$J58="高"</formula>
    </cfRule>
    <cfRule type="expression" priority="248" dxfId="3" stopIfTrue="1">
      <formula>$J58="中"</formula>
    </cfRule>
    <cfRule type="expression" priority="249" dxfId="4" stopIfTrue="1">
      <formula>$J58="低"</formula>
    </cfRule>
    <cfRule type="expression" priority="250" dxfId="5" stopIfTrue="1">
      <formula>$J58="极低"</formula>
    </cfRule>
  </conditionalFormatting>
  <conditionalFormatting sqref="J59">
    <cfRule type="expression" priority="251" dxfId="1" stopIfTrue="1">
      <formula>$J59="极高"</formula>
    </cfRule>
    <cfRule type="expression" priority="252" dxfId="2" stopIfTrue="1">
      <formula>$J59="高"</formula>
    </cfRule>
    <cfRule type="expression" priority="253" dxfId="3" stopIfTrue="1">
      <formula>$J59="中"</formula>
    </cfRule>
    <cfRule type="expression" priority="254" dxfId="4" stopIfTrue="1">
      <formula>$J59="低"</formula>
    </cfRule>
    <cfRule type="expression" priority="255" dxfId="5" stopIfTrue="1">
      <formula>$J59="极低"</formula>
    </cfRule>
  </conditionalFormatting>
  <conditionalFormatting sqref="J60">
    <cfRule type="expression" priority="256" dxfId="1" stopIfTrue="1">
      <formula>$J60="极高"</formula>
    </cfRule>
    <cfRule type="expression" priority="257" dxfId="2" stopIfTrue="1">
      <formula>$J60="高"</formula>
    </cfRule>
    <cfRule type="expression" priority="258" dxfId="3" stopIfTrue="1">
      <formula>$J60="中"</formula>
    </cfRule>
    <cfRule type="expression" priority="259" dxfId="4" stopIfTrue="1">
      <formula>$J60="低"</formula>
    </cfRule>
    <cfRule type="expression" priority="260" dxfId="5" stopIfTrue="1">
      <formula>$J60="极低"</formula>
    </cfRule>
  </conditionalFormatting>
  <conditionalFormatting sqref="J61">
    <cfRule type="expression" priority="261" dxfId="1" stopIfTrue="1">
      <formula>$J61="极高"</formula>
    </cfRule>
    <cfRule type="expression" priority="262" dxfId="2" stopIfTrue="1">
      <formula>$J61="高"</formula>
    </cfRule>
    <cfRule type="expression" priority="263" dxfId="3" stopIfTrue="1">
      <formula>$J61="中"</formula>
    </cfRule>
    <cfRule type="expression" priority="264" dxfId="4" stopIfTrue="1">
      <formula>$J61="低"</formula>
    </cfRule>
    <cfRule type="expression" priority="265" dxfId="5" stopIfTrue="1">
      <formula>$J61="极低"</formula>
    </cfRule>
  </conditionalFormatting>
  <conditionalFormatting sqref="J62">
    <cfRule type="expression" priority="266" dxfId="1" stopIfTrue="1">
      <formula>$J62="极高"</formula>
    </cfRule>
    <cfRule type="expression" priority="267" dxfId="2" stopIfTrue="1">
      <formula>$J62="高"</formula>
    </cfRule>
    <cfRule type="expression" priority="268" dxfId="3" stopIfTrue="1">
      <formula>$J62="中"</formula>
    </cfRule>
    <cfRule type="expression" priority="269" dxfId="4" stopIfTrue="1">
      <formula>$J62="低"</formula>
    </cfRule>
    <cfRule type="expression" priority="270" dxfId="5" stopIfTrue="1">
      <formula>$J62="极低"</formula>
    </cfRule>
  </conditionalFormatting>
  <conditionalFormatting sqref="J63">
    <cfRule type="expression" priority="271" dxfId="1" stopIfTrue="1">
      <formula>$J63="极高"</formula>
    </cfRule>
    <cfRule type="expression" priority="272" dxfId="2" stopIfTrue="1">
      <formula>$J63="高"</formula>
    </cfRule>
    <cfRule type="expression" priority="273" dxfId="3" stopIfTrue="1">
      <formula>$J63="中"</formula>
    </cfRule>
    <cfRule type="expression" priority="274" dxfId="4" stopIfTrue="1">
      <formula>$J63="低"</formula>
    </cfRule>
    <cfRule type="expression" priority="275" dxfId="5" stopIfTrue="1">
      <formula>$J63="极低"</formula>
    </cfRule>
  </conditionalFormatting>
  <conditionalFormatting sqref="J64">
    <cfRule type="expression" priority="276" dxfId="1" stopIfTrue="1">
      <formula>$J64="极高"</formula>
    </cfRule>
    <cfRule type="expression" priority="277" dxfId="2" stopIfTrue="1">
      <formula>$J64="高"</formula>
    </cfRule>
    <cfRule type="expression" priority="278" dxfId="3" stopIfTrue="1">
      <formula>$J64="中"</formula>
    </cfRule>
    <cfRule type="expression" priority="279" dxfId="4" stopIfTrue="1">
      <formula>$J64="低"</formula>
    </cfRule>
    <cfRule type="expression" priority="280" dxfId="5" stopIfTrue="1">
      <formula>$J64="极低"</formula>
    </cfRule>
  </conditionalFormatting>
  <conditionalFormatting sqref="J65">
    <cfRule type="expression" priority="281" dxfId="1" stopIfTrue="1">
      <formula>$J65="极高"</formula>
    </cfRule>
    <cfRule type="expression" priority="282" dxfId="2" stopIfTrue="1">
      <formula>$J65="高"</formula>
    </cfRule>
    <cfRule type="expression" priority="283" dxfId="3" stopIfTrue="1">
      <formula>$J65="中"</formula>
    </cfRule>
    <cfRule type="expression" priority="284" dxfId="4" stopIfTrue="1">
      <formula>$J65="低"</formula>
    </cfRule>
    <cfRule type="expression" priority="285" dxfId="5" stopIfTrue="1">
      <formula>$J65="极低"</formula>
    </cfRule>
  </conditionalFormatting>
  <conditionalFormatting sqref="J66">
    <cfRule type="expression" priority="286" dxfId="1" stopIfTrue="1">
      <formula>$J66="极高"</formula>
    </cfRule>
    <cfRule type="expression" priority="287" dxfId="2" stopIfTrue="1">
      <formula>$J66="高"</formula>
    </cfRule>
    <cfRule type="expression" priority="288" dxfId="3" stopIfTrue="1">
      <formula>$J66="中"</formula>
    </cfRule>
    <cfRule type="expression" priority="289" dxfId="4" stopIfTrue="1">
      <formula>$J66="低"</formula>
    </cfRule>
    <cfRule type="expression" priority="290" dxfId="5" stopIfTrue="1">
      <formula>$J66="极低"</formula>
    </cfRule>
  </conditionalFormatting>
  <conditionalFormatting sqref="J67">
    <cfRule type="expression" priority="291" dxfId="1" stopIfTrue="1">
      <formula>$J67="极高"</formula>
    </cfRule>
    <cfRule type="expression" priority="292" dxfId="2" stopIfTrue="1">
      <formula>$J67="高"</formula>
    </cfRule>
    <cfRule type="expression" priority="293" dxfId="3" stopIfTrue="1">
      <formula>$J67="中"</formula>
    </cfRule>
    <cfRule type="expression" priority="294" dxfId="4" stopIfTrue="1">
      <formula>$J67="低"</formula>
    </cfRule>
    <cfRule type="expression" priority="295" dxfId="5" stopIfTrue="1">
      <formula>$J67="极低"</formula>
    </cfRule>
  </conditionalFormatting>
  <conditionalFormatting sqref="J68">
    <cfRule type="expression" priority="296" dxfId="1" stopIfTrue="1">
      <formula>$J68="极高"</formula>
    </cfRule>
    <cfRule type="expression" priority="297" dxfId="2" stopIfTrue="1">
      <formula>$J68="高"</formula>
    </cfRule>
    <cfRule type="expression" priority="298" dxfId="3" stopIfTrue="1">
      <formula>$J68="中"</formula>
    </cfRule>
    <cfRule type="expression" priority="299" dxfId="4" stopIfTrue="1">
      <formula>$J68="低"</formula>
    </cfRule>
    <cfRule type="expression" priority="300" dxfId="5" stopIfTrue="1">
      <formula>$J68="极低"</formula>
    </cfRule>
  </conditionalFormatting>
  <conditionalFormatting sqref="J69">
    <cfRule type="expression" priority="301" dxfId="1" stopIfTrue="1">
      <formula>$J69="极高"</formula>
    </cfRule>
    <cfRule type="expression" priority="302" dxfId="2" stopIfTrue="1">
      <formula>$J69="高"</formula>
    </cfRule>
    <cfRule type="expression" priority="303" dxfId="3" stopIfTrue="1">
      <formula>$J69="中"</formula>
    </cfRule>
    <cfRule type="expression" priority="304" dxfId="4" stopIfTrue="1">
      <formula>$J69="低"</formula>
    </cfRule>
    <cfRule type="expression" priority="305" dxfId="5" stopIfTrue="1">
      <formula>$J69="极低"</formula>
    </cfRule>
  </conditionalFormatting>
  <conditionalFormatting sqref="J70">
    <cfRule type="expression" priority="306" dxfId="1" stopIfTrue="1">
      <formula>$J70="极高"</formula>
    </cfRule>
    <cfRule type="expression" priority="307" dxfId="2" stopIfTrue="1">
      <formula>$J70="高"</formula>
    </cfRule>
    <cfRule type="expression" priority="308" dxfId="3" stopIfTrue="1">
      <formula>$J70="中"</formula>
    </cfRule>
    <cfRule type="expression" priority="309" dxfId="4" stopIfTrue="1">
      <formula>$J70="低"</formula>
    </cfRule>
    <cfRule type="expression" priority="310" dxfId="5" stopIfTrue="1">
      <formula>$J70="极低"</formula>
    </cfRule>
  </conditionalFormatting>
  <conditionalFormatting sqref="J71">
    <cfRule type="expression" priority="311" dxfId="1" stopIfTrue="1">
      <formula>$J71="极高"</formula>
    </cfRule>
    <cfRule type="expression" priority="312" dxfId="2" stopIfTrue="1">
      <formula>$J71="高"</formula>
    </cfRule>
    <cfRule type="expression" priority="313" dxfId="3" stopIfTrue="1">
      <formula>$J71="中"</formula>
    </cfRule>
    <cfRule type="expression" priority="314" dxfId="4" stopIfTrue="1">
      <formula>$J71="低"</formula>
    </cfRule>
    <cfRule type="expression" priority="315" dxfId="5" stopIfTrue="1">
      <formula>$J71="极低"</formula>
    </cfRule>
  </conditionalFormatting>
  <conditionalFormatting sqref="J72">
    <cfRule type="expression" priority="316" dxfId="1" stopIfTrue="1">
      <formula>$J72="极高"</formula>
    </cfRule>
    <cfRule type="expression" priority="317" dxfId="2" stopIfTrue="1">
      <formula>$J72="高"</formula>
    </cfRule>
    <cfRule type="expression" priority="318" dxfId="3" stopIfTrue="1">
      <formula>$J72="中"</formula>
    </cfRule>
    <cfRule type="expression" priority="319" dxfId="4" stopIfTrue="1">
      <formula>$J72="低"</formula>
    </cfRule>
    <cfRule type="expression" priority="320" dxfId="5" stopIfTrue="1">
      <formula>$J72="极低"</formula>
    </cfRule>
  </conditionalFormatting>
  <conditionalFormatting sqref="J73">
    <cfRule type="expression" priority="321" dxfId="1" stopIfTrue="1">
      <formula>$J73="极高"</formula>
    </cfRule>
    <cfRule type="expression" priority="322" dxfId="2" stopIfTrue="1">
      <formula>$J73="高"</formula>
    </cfRule>
    <cfRule type="expression" priority="323" dxfId="3" stopIfTrue="1">
      <formula>$J73="中"</formula>
    </cfRule>
    <cfRule type="expression" priority="324" dxfId="4" stopIfTrue="1">
      <formula>$J73="低"</formula>
    </cfRule>
    <cfRule type="expression" priority="325" dxfId="5" stopIfTrue="1">
      <formula>$J73="极低"</formula>
    </cfRule>
  </conditionalFormatting>
  <conditionalFormatting sqref="J74">
    <cfRule type="expression" priority="326" dxfId="1" stopIfTrue="1">
      <formula>$J74="极高"</formula>
    </cfRule>
    <cfRule type="expression" priority="327" dxfId="2" stopIfTrue="1">
      <formula>$J74="高"</formula>
    </cfRule>
    <cfRule type="expression" priority="328" dxfId="3" stopIfTrue="1">
      <formula>$J74="中"</formula>
    </cfRule>
    <cfRule type="expression" priority="329" dxfId="4" stopIfTrue="1">
      <formula>$J74="低"</formula>
    </cfRule>
    <cfRule type="expression" priority="330" dxfId="5" stopIfTrue="1">
      <formula>$J74="极低"</formula>
    </cfRule>
  </conditionalFormatting>
  <conditionalFormatting sqref="J75">
    <cfRule type="expression" priority="331" dxfId="1" stopIfTrue="1">
      <formula>$J75="极高"</formula>
    </cfRule>
    <cfRule type="expression" priority="332" dxfId="2" stopIfTrue="1">
      <formula>$J75="高"</formula>
    </cfRule>
    <cfRule type="expression" priority="333" dxfId="3" stopIfTrue="1">
      <formula>$J75="中"</formula>
    </cfRule>
    <cfRule type="expression" priority="334" dxfId="4" stopIfTrue="1">
      <formula>$J75="低"</formula>
    </cfRule>
    <cfRule type="expression" priority="335" dxfId="5" stopIfTrue="1">
      <formula>$J75="极低"</formula>
    </cfRule>
  </conditionalFormatting>
  <conditionalFormatting sqref="J76">
    <cfRule type="expression" priority="336" dxfId="1" stopIfTrue="1">
      <formula>$J76="极高"</formula>
    </cfRule>
    <cfRule type="expression" priority="337" dxfId="2" stopIfTrue="1">
      <formula>$J76="高"</formula>
    </cfRule>
    <cfRule type="expression" priority="338" dxfId="3" stopIfTrue="1">
      <formula>$J76="中"</formula>
    </cfRule>
    <cfRule type="expression" priority="339" dxfId="4" stopIfTrue="1">
      <formula>$J76="低"</formula>
    </cfRule>
    <cfRule type="expression" priority="340" dxfId="5" stopIfTrue="1">
      <formula>$J76="极低"</formula>
    </cfRule>
  </conditionalFormatting>
  <conditionalFormatting sqref="J77">
    <cfRule type="expression" priority="341" dxfId="1" stopIfTrue="1">
      <formula>$J77="极高"</formula>
    </cfRule>
    <cfRule type="expression" priority="342" dxfId="2" stopIfTrue="1">
      <formula>$J77="高"</formula>
    </cfRule>
    <cfRule type="expression" priority="343" dxfId="3" stopIfTrue="1">
      <formula>$J77="中"</formula>
    </cfRule>
    <cfRule type="expression" priority="344" dxfId="4" stopIfTrue="1">
      <formula>$J77="低"</formula>
    </cfRule>
    <cfRule type="expression" priority="345" dxfId="5" stopIfTrue="1">
      <formula>$J77="极低"</formula>
    </cfRule>
  </conditionalFormatting>
  <conditionalFormatting sqref="J78">
    <cfRule type="expression" priority="346" dxfId="1" stopIfTrue="1">
      <formula>$J78="极高"</formula>
    </cfRule>
    <cfRule type="expression" priority="347" dxfId="2" stopIfTrue="1">
      <formula>$J78="高"</formula>
    </cfRule>
    <cfRule type="expression" priority="348" dxfId="3" stopIfTrue="1">
      <formula>$J78="中"</formula>
    </cfRule>
    <cfRule type="expression" priority="349" dxfId="4" stopIfTrue="1">
      <formula>$J78="低"</formula>
    </cfRule>
    <cfRule type="expression" priority="350" dxfId="5" stopIfTrue="1">
      <formula>$J78="极低"</formula>
    </cfRule>
  </conditionalFormatting>
  <conditionalFormatting sqref="J79">
    <cfRule type="expression" priority="351" dxfId="1" stopIfTrue="1">
      <formula>$J79="极高"</formula>
    </cfRule>
    <cfRule type="expression" priority="352" dxfId="2" stopIfTrue="1">
      <formula>$J79="高"</formula>
    </cfRule>
    <cfRule type="expression" priority="353" dxfId="3" stopIfTrue="1">
      <formula>$J79="中"</formula>
    </cfRule>
    <cfRule type="expression" priority="354" dxfId="4" stopIfTrue="1">
      <formula>$J79="低"</formula>
    </cfRule>
    <cfRule type="expression" priority="355" dxfId="5" stopIfTrue="1">
      <formula>$J79="极低"</formula>
    </cfRule>
  </conditionalFormatting>
  <conditionalFormatting sqref="J80">
    <cfRule type="expression" priority="356" dxfId="1" stopIfTrue="1">
      <formula>$J80="极高"</formula>
    </cfRule>
    <cfRule type="expression" priority="357" dxfId="2" stopIfTrue="1">
      <formula>$J80="高"</formula>
    </cfRule>
    <cfRule type="expression" priority="358" dxfId="3" stopIfTrue="1">
      <formula>$J80="中"</formula>
    </cfRule>
    <cfRule type="expression" priority="359" dxfId="4" stopIfTrue="1">
      <formula>$J80="低"</formula>
    </cfRule>
    <cfRule type="expression" priority="360" dxfId="5" stopIfTrue="1">
      <formula>$J80="极低"</formula>
    </cfRule>
  </conditionalFormatting>
  <conditionalFormatting sqref="J81">
    <cfRule type="expression" priority="361" dxfId="1" stopIfTrue="1">
      <formula>$J81="极高"</formula>
    </cfRule>
    <cfRule type="expression" priority="362" dxfId="2" stopIfTrue="1">
      <formula>$J81="高"</formula>
    </cfRule>
    <cfRule type="expression" priority="363" dxfId="3" stopIfTrue="1">
      <formula>$J81="中"</formula>
    </cfRule>
    <cfRule type="expression" priority="364" dxfId="4" stopIfTrue="1">
      <formula>$J81="低"</formula>
    </cfRule>
    <cfRule type="expression" priority="365" dxfId="5" stopIfTrue="1">
      <formula>$J81="极低"</formula>
    </cfRule>
  </conditionalFormatting>
  <conditionalFormatting sqref="J82">
    <cfRule type="expression" priority="366" dxfId="1" stopIfTrue="1">
      <formula>$J82="极高"</formula>
    </cfRule>
    <cfRule type="expression" priority="367" dxfId="2" stopIfTrue="1">
      <formula>$J82="高"</formula>
    </cfRule>
    <cfRule type="expression" priority="368" dxfId="3" stopIfTrue="1">
      <formula>$J82="中"</formula>
    </cfRule>
    <cfRule type="expression" priority="369" dxfId="4" stopIfTrue="1">
      <formula>$J82="低"</formula>
    </cfRule>
    <cfRule type="expression" priority="370" dxfId="5" stopIfTrue="1">
      <formula>$J82="极低"</formula>
    </cfRule>
  </conditionalFormatting>
  <conditionalFormatting sqref="J83">
    <cfRule type="expression" priority="371" dxfId="1" stopIfTrue="1">
      <formula>$J83="极高"</formula>
    </cfRule>
    <cfRule type="expression" priority="372" dxfId="2" stopIfTrue="1">
      <formula>$J83="高"</formula>
    </cfRule>
    <cfRule type="expression" priority="373" dxfId="3" stopIfTrue="1">
      <formula>$J83="中"</formula>
    </cfRule>
    <cfRule type="expression" priority="374" dxfId="4" stopIfTrue="1">
      <formula>$J83="低"</formula>
    </cfRule>
    <cfRule type="expression" priority="375" dxfId="5" stopIfTrue="1">
      <formula>$J83="极低"</formula>
    </cfRule>
  </conditionalFormatting>
  <conditionalFormatting sqref="J84">
    <cfRule type="expression" priority="376" dxfId="1" stopIfTrue="1">
      <formula>$J84="极高"</formula>
    </cfRule>
    <cfRule type="expression" priority="377" dxfId="2" stopIfTrue="1">
      <formula>$J84="高"</formula>
    </cfRule>
    <cfRule type="expression" priority="378" dxfId="3" stopIfTrue="1">
      <formula>$J84="中"</formula>
    </cfRule>
    <cfRule type="expression" priority="379" dxfId="4" stopIfTrue="1">
      <formula>$J84="低"</formula>
    </cfRule>
    <cfRule type="expression" priority="380" dxfId="5" stopIfTrue="1">
      <formula>$J84="极低"</formula>
    </cfRule>
  </conditionalFormatting>
  <conditionalFormatting sqref="J85">
    <cfRule type="expression" priority="381" dxfId="1" stopIfTrue="1">
      <formula>$J85="极高"</formula>
    </cfRule>
    <cfRule type="expression" priority="382" dxfId="2" stopIfTrue="1">
      <formula>$J85="高"</formula>
    </cfRule>
    <cfRule type="expression" priority="383" dxfId="3" stopIfTrue="1">
      <formula>$J85="中"</formula>
    </cfRule>
    <cfRule type="expression" priority="384" dxfId="4" stopIfTrue="1">
      <formula>$J85="低"</formula>
    </cfRule>
    <cfRule type="expression" priority="385" dxfId="5" stopIfTrue="1">
      <formula>$J85="极低"</formula>
    </cfRule>
  </conditionalFormatting>
  <conditionalFormatting sqref="J86">
    <cfRule type="expression" priority="386" dxfId="1" stopIfTrue="1">
      <formula>$J86="极高"</formula>
    </cfRule>
    <cfRule type="expression" priority="387" dxfId="2" stopIfTrue="1">
      <formula>$J86="高"</formula>
    </cfRule>
    <cfRule type="expression" priority="388" dxfId="3" stopIfTrue="1">
      <formula>$J86="中"</formula>
    </cfRule>
    <cfRule type="expression" priority="389" dxfId="4" stopIfTrue="1">
      <formula>$J86="低"</formula>
    </cfRule>
    <cfRule type="expression" priority="390" dxfId="5" stopIfTrue="1">
      <formula>$J86="极低"</formula>
    </cfRule>
  </conditionalFormatting>
  <conditionalFormatting sqref="J87">
    <cfRule type="expression" priority="391" dxfId="1" stopIfTrue="1">
      <formula>$J87="极高"</formula>
    </cfRule>
    <cfRule type="expression" priority="392" dxfId="2" stopIfTrue="1">
      <formula>$J87="高"</formula>
    </cfRule>
    <cfRule type="expression" priority="393" dxfId="3" stopIfTrue="1">
      <formula>$J87="中"</formula>
    </cfRule>
    <cfRule type="expression" priority="394" dxfId="4" stopIfTrue="1">
      <formula>$J87="低"</formula>
    </cfRule>
    <cfRule type="expression" priority="395" dxfId="5" stopIfTrue="1">
      <formula>$J87="极低"</formula>
    </cfRule>
  </conditionalFormatting>
  <conditionalFormatting sqref="J88">
    <cfRule type="expression" priority="396" dxfId="1" stopIfTrue="1">
      <formula>$J88="极高"</formula>
    </cfRule>
    <cfRule type="expression" priority="397" dxfId="2" stopIfTrue="1">
      <formula>$J88="高"</formula>
    </cfRule>
    <cfRule type="expression" priority="398" dxfId="3" stopIfTrue="1">
      <formula>$J88="中"</formula>
    </cfRule>
    <cfRule type="expression" priority="399" dxfId="4" stopIfTrue="1">
      <formula>$J88="低"</formula>
    </cfRule>
    <cfRule type="expression" priority="400" dxfId="5" stopIfTrue="1">
      <formula>$J88="极低"</formula>
    </cfRule>
  </conditionalFormatting>
  <conditionalFormatting sqref="J89">
    <cfRule type="expression" priority="401" dxfId="1" stopIfTrue="1">
      <formula>$J89="极高"</formula>
    </cfRule>
    <cfRule type="expression" priority="402" dxfId="2" stopIfTrue="1">
      <formula>$J89="高"</formula>
    </cfRule>
    <cfRule type="expression" priority="403" dxfId="3" stopIfTrue="1">
      <formula>$J89="中"</formula>
    </cfRule>
    <cfRule type="expression" priority="404" dxfId="4" stopIfTrue="1">
      <formula>$J89="低"</formula>
    </cfRule>
    <cfRule type="expression" priority="405" dxfId="5" stopIfTrue="1">
      <formula>$J89="极低"</formula>
    </cfRule>
  </conditionalFormatting>
  <conditionalFormatting sqref="J90">
    <cfRule type="expression" priority="406" dxfId="1" stopIfTrue="1">
      <formula>$J90="极高"</formula>
    </cfRule>
    <cfRule type="expression" priority="407" dxfId="2" stopIfTrue="1">
      <formula>$J90="高"</formula>
    </cfRule>
    <cfRule type="expression" priority="408" dxfId="3" stopIfTrue="1">
      <formula>$J90="中"</formula>
    </cfRule>
    <cfRule type="expression" priority="409" dxfId="4" stopIfTrue="1">
      <formula>$J90="低"</formula>
    </cfRule>
    <cfRule type="expression" priority="410" dxfId="5" stopIfTrue="1">
      <formula>$J90="极低"</formula>
    </cfRule>
  </conditionalFormatting>
  <conditionalFormatting sqref="J91">
    <cfRule type="expression" priority="411" dxfId="1" stopIfTrue="1">
      <formula>$J91="极高"</formula>
    </cfRule>
    <cfRule type="expression" priority="412" dxfId="2" stopIfTrue="1">
      <formula>$J91="高"</formula>
    </cfRule>
    <cfRule type="expression" priority="413" dxfId="3" stopIfTrue="1">
      <formula>$J91="中"</formula>
    </cfRule>
    <cfRule type="expression" priority="414" dxfId="4" stopIfTrue="1">
      <formula>$J91="低"</formula>
    </cfRule>
    <cfRule type="expression" priority="415" dxfId="5" stopIfTrue="1">
      <formula>$J91="极低"</formula>
    </cfRule>
  </conditionalFormatting>
  <conditionalFormatting sqref="J92">
    <cfRule type="expression" priority="416" dxfId="1" stopIfTrue="1">
      <formula>$J92="极高"</formula>
    </cfRule>
    <cfRule type="expression" priority="417" dxfId="2" stopIfTrue="1">
      <formula>$J92="高"</formula>
    </cfRule>
    <cfRule type="expression" priority="418" dxfId="3" stopIfTrue="1">
      <formula>$J92="中"</formula>
    </cfRule>
    <cfRule type="expression" priority="419" dxfId="4" stopIfTrue="1">
      <formula>$J92="低"</formula>
    </cfRule>
    <cfRule type="expression" priority="420" dxfId="5" stopIfTrue="1">
      <formula>$J92="极低"</formula>
    </cfRule>
  </conditionalFormatting>
  <conditionalFormatting sqref="J93">
    <cfRule type="expression" priority="421" dxfId="1" stopIfTrue="1">
      <formula>$J93="极高"</formula>
    </cfRule>
    <cfRule type="expression" priority="422" dxfId="2" stopIfTrue="1">
      <formula>$J93="高"</formula>
    </cfRule>
    <cfRule type="expression" priority="423" dxfId="3" stopIfTrue="1">
      <formula>$J93="中"</formula>
    </cfRule>
    <cfRule type="expression" priority="424" dxfId="4" stopIfTrue="1">
      <formula>$J93="低"</formula>
    </cfRule>
    <cfRule type="expression" priority="425" dxfId="5" stopIfTrue="1">
      <formula>$J93="极低"</formula>
    </cfRule>
  </conditionalFormatting>
  <conditionalFormatting sqref="J94">
    <cfRule type="expression" priority="426" dxfId="1" stopIfTrue="1">
      <formula>$J94="极高"</formula>
    </cfRule>
    <cfRule type="expression" priority="427" dxfId="2" stopIfTrue="1">
      <formula>$J94="高"</formula>
    </cfRule>
    <cfRule type="expression" priority="428" dxfId="3" stopIfTrue="1">
      <formula>$J94="中"</formula>
    </cfRule>
    <cfRule type="expression" priority="429" dxfId="4" stopIfTrue="1">
      <formula>$J94="低"</formula>
    </cfRule>
    <cfRule type="expression" priority="430" dxfId="5" stopIfTrue="1">
      <formula>$J94="极低"</formula>
    </cfRule>
  </conditionalFormatting>
  <conditionalFormatting sqref="J95">
    <cfRule type="expression" priority="431" dxfId="1" stopIfTrue="1">
      <formula>$J95="极高"</formula>
    </cfRule>
    <cfRule type="expression" priority="432" dxfId="2" stopIfTrue="1">
      <formula>$J95="高"</formula>
    </cfRule>
    <cfRule type="expression" priority="433" dxfId="3" stopIfTrue="1">
      <formula>$J95="中"</formula>
    </cfRule>
    <cfRule type="expression" priority="434" dxfId="4" stopIfTrue="1">
      <formula>$J95="低"</formula>
    </cfRule>
    <cfRule type="expression" priority="435" dxfId="5" stopIfTrue="1">
      <formula>$J95="极低"</formula>
    </cfRule>
  </conditionalFormatting>
  <conditionalFormatting sqref="J96">
    <cfRule type="expression" priority="436" dxfId="1" stopIfTrue="1">
      <formula>$J96="极高"</formula>
    </cfRule>
    <cfRule type="expression" priority="437" dxfId="2" stopIfTrue="1">
      <formula>$J96="高"</formula>
    </cfRule>
    <cfRule type="expression" priority="438" dxfId="3" stopIfTrue="1">
      <formula>$J96="中"</formula>
    </cfRule>
    <cfRule type="expression" priority="439" dxfId="4" stopIfTrue="1">
      <formula>$J96="低"</formula>
    </cfRule>
    <cfRule type="expression" priority="440" dxfId="5" stopIfTrue="1">
      <formula>$J96="极低"</formula>
    </cfRule>
  </conditionalFormatting>
  <conditionalFormatting sqref="J97">
    <cfRule type="expression" priority="441" dxfId="1" stopIfTrue="1">
      <formula>$J97="极高"</formula>
    </cfRule>
    <cfRule type="expression" priority="442" dxfId="2" stopIfTrue="1">
      <formula>$J97="高"</formula>
    </cfRule>
    <cfRule type="expression" priority="443" dxfId="3" stopIfTrue="1">
      <formula>$J97="中"</formula>
    </cfRule>
    <cfRule type="expression" priority="444" dxfId="4" stopIfTrue="1">
      <formula>$J97="低"</formula>
    </cfRule>
    <cfRule type="expression" priority="445" dxfId="5" stopIfTrue="1">
      <formula>$J97="极低"</formula>
    </cfRule>
  </conditionalFormatting>
  <conditionalFormatting sqref="J98">
    <cfRule type="expression" priority="446" dxfId="1" stopIfTrue="1">
      <formula>$J98="极高"</formula>
    </cfRule>
    <cfRule type="expression" priority="447" dxfId="2" stopIfTrue="1">
      <formula>$J98="高"</formula>
    </cfRule>
    <cfRule type="expression" priority="448" dxfId="3" stopIfTrue="1">
      <formula>$J98="中"</formula>
    </cfRule>
    <cfRule type="expression" priority="449" dxfId="4" stopIfTrue="1">
      <formula>$J98="低"</formula>
    </cfRule>
    <cfRule type="expression" priority="450" dxfId="5" stopIfTrue="1">
      <formula>$J98="极低"</formula>
    </cfRule>
  </conditionalFormatting>
  <conditionalFormatting sqref="J99">
    <cfRule type="expression" priority="451" dxfId="1" stopIfTrue="1">
      <formula>$J99="极高"</formula>
    </cfRule>
    <cfRule type="expression" priority="452" dxfId="2" stopIfTrue="1">
      <formula>$J99="高"</formula>
    </cfRule>
    <cfRule type="expression" priority="453" dxfId="3" stopIfTrue="1">
      <formula>$J99="中"</formula>
    </cfRule>
    <cfRule type="expression" priority="454" dxfId="4" stopIfTrue="1">
      <formula>$J99="低"</formula>
    </cfRule>
    <cfRule type="expression" priority="455" dxfId="5" stopIfTrue="1">
      <formula>$J99="极低"</formula>
    </cfRule>
  </conditionalFormatting>
  <conditionalFormatting sqref="J100">
    <cfRule type="expression" priority="456" dxfId="1" stopIfTrue="1">
      <formula>$J100="极高"</formula>
    </cfRule>
    <cfRule type="expression" priority="457" dxfId="2" stopIfTrue="1">
      <formula>$J100="高"</formula>
    </cfRule>
    <cfRule type="expression" priority="458" dxfId="3" stopIfTrue="1">
      <formula>$J100="中"</formula>
    </cfRule>
    <cfRule type="expression" priority="459" dxfId="4" stopIfTrue="1">
      <formula>$J100="低"</formula>
    </cfRule>
    <cfRule type="expression" priority="460" dxfId="5" stopIfTrue="1">
      <formula>$J100="极低"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2026-08-25T14:04:18Z</dcterms:created>
  <dcterms:modified xmlns:dcterms="http://purl.org/dc/terms/" xmlns:xsi="http://www.w3.org/2001/XMLSchema-instance" xsi:type="dcterms:W3CDTF">2026-08-25T14:04:18Z</dcterms:modified>
</cp:coreProperties>
</file>